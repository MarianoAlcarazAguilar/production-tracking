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iano/Documents/job/kpis/clean-automation/templates/"/>
    </mc:Choice>
  </mc:AlternateContent>
  <xr:revisionPtr revIDLastSave="0" documentId="13_ncr:1_{B047E738-2434-E448-BBF9-7E4379F53FB4}" xr6:coauthVersionLast="47" xr6:coauthVersionMax="47" xr10:uidLastSave="{00000000-0000-0000-0000-000000000000}"/>
  <bookViews>
    <workbookView xWindow="0" yWindow="740" windowWidth="29400" windowHeight="18380" xr2:uid="{50552C50-546E-4FF3-AF9F-20729F9EE75B}"/>
  </bookViews>
  <sheets>
    <sheet name="Plan de Producción" sheetId="1" r:id="rId1"/>
    <sheet name="Datos HB" sheetId="4" r:id="rId2"/>
    <sheet name="Datos IN" sheetId="3" r:id="rId3"/>
    <sheet name="Macros" sheetId="7" r:id="rId4"/>
  </sheets>
  <externalReferences>
    <externalReference r:id="rId5"/>
  </externalReferences>
  <definedNames>
    <definedName name="SUMA">'[1]HERBICIDAS 1 L'!#REF!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7" i="1" l="1"/>
  <c r="F135" i="1"/>
  <c r="F133" i="1"/>
  <c r="F131" i="1"/>
  <c r="F125" i="1"/>
  <c r="F123" i="1"/>
  <c r="F121" i="1"/>
  <c r="E135" i="1" l="1"/>
  <c r="E131" i="1"/>
  <c r="E137" i="1"/>
  <c r="E123" i="1"/>
  <c r="E125" i="1"/>
  <c r="E121" i="1"/>
  <c r="E133" i="1"/>
  <c r="F85" i="1" l="1"/>
  <c r="F29" i="1"/>
  <c r="J10" i="1"/>
  <c r="K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F25" i="1"/>
  <c r="Y25" i="1" s="1"/>
  <c r="E29" i="1" l="1"/>
  <c r="E85" i="1"/>
  <c r="Z25" i="1"/>
  <c r="E25" i="1"/>
  <c r="F33" i="1"/>
  <c r="E33" i="1" s="1"/>
  <c r="Y115" i="1"/>
  <c r="Z115" i="1" s="1"/>
  <c r="F69" i="1"/>
  <c r="Y69" i="1" s="1"/>
  <c r="Z69" i="1" s="1"/>
  <c r="F19" i="1" l="1"/>
  <c r="Y19" i="1" s="1"/>
  <c r="Z19" i="1" s="1"/>
  <c r="F77" i="1"/>
  <c r="Y77" i="1" s="1"/>
  <c r="Z77" i="1" s="1"/>
  <c r="Y85" i="1"/>
  <c r="Z85" i="1" s="1"/>
  <c r="F83" i="1"/>
  <c r="Y83" i="1" s="1"/>
  <c r="Z83" i="1" s="1"/>
  <c r="F81" i="1"/>
  <c r="Y81" i="1" s="1"/>
  <c r="Z81" i="1" s="1"/>
  <c r="F79" i="1"/>
  <c r="Y79" i="1" s="1"/>
  <c r="Z79" i="1" s="1"/>
  <c r="F61" i="1"/>
  <c r="E61" i="1" s="1"/>
  <c r="F15" i="1"/>
  <c r="E15" i="1" s="1"/>
  <c r="E19" i="1" l="1"/>
  <c r="E77" i="1"/>
  <c r="E83" i="1"/>
  <c r="E81" i="1"/>
  <c r="E79" i="1"/>
  <c r="Y61" i="1"/>
  <c r="Z61" i="1" s="1"/>
  <c r="Y15" i="1"/>
  <c r="Z15" i="1" s="1"/>
  <c r="Y117" i="1" l="1"/>
  <c r="Z117" i="1" s="1"/>
  <c r="Y103" i="1"/>
  <c r="Z103" i="1" s="1"/>
  <c r="Y101" i="1"/>
  <c r="Z101" i="1" s="1"/>
  <c r="Y99" i="1"/>
  <c r="Z99" i="1" s="1"/>
  <c r="F67" i="1" l="1"/>
  <c r="E67" i="1" s="1"/>
  <c r="F37" i="1"/>
  <c r="Y37" i="1" s="1"/>
  <c r="Z37" i="1" s="1"/>
  <c r="F59" i="1"/>
  <c r="E59" i="1" s="1"/>
  <c r="F57" i="1"/>
  <c r="E57" i="1" s="1"/>
  <c r="F55" i="1"/>
  <c r="E55" i="1" s="1"/>
  <c r="F53" i="1"/>
  <c r="Y53" i="1" s="1"/>
  <c r="Z53" i="1" s="1"/>
  <c r="F51" i="1"/>
  <c r="Y51" i="1" s="1"/>
  <c r="Z51" i="1" s="1"/>
  <c r="F49" i="1"/>
  <c r="Y49" i="1" s="1"/>
  <c r="Z49" i="1" s="1"/>
  <c r="F47" i="1"/>
  <c r="E47" i="1" s="1"/>
  <c r="F63" i="1"/>
  <c r="Y63" i="1" s="1"/>
  <c r="Z63" i="1" s="1"/>
  <c r="F65" i="1"/>
  <c r="E65" i="1" s="1"/>
  <c r="Y137" i="1"/>
  <c r="Z137" i="1" s="1"/>
  <c r="Y135" i="1"/>
  <c r="Z135" i="1" s="1"/>
  <c r="Y133" i="1"/>
  <c r="Z133" i="1" s="1"/>
  <c r="Y131" i="1"/>
  <c r="Z131" i="1" s="1"/>
  <c r="F129" i="1"/>
  <c r="Y129" i="1" s="1"/>
  <c r="Z129" i="1" s="1"/>
  <c r="Y125" i="1"/>
  <c r="Z125" i="1" s="1"/>
  <c r="Y123" i="1"/>
  <c r="Z123" i="1" s="1"/>
  <c r="Y121" i="1"/>
  <c r="Z121" i="1" s="1"/>
  <c r="Y113" i="1"/>
  <c r="Z113" i="1" s="1"/>
  <c r="Y111" i="1"/>
  <c r="Z111" i="1" s="1"/>
  <c r="Y109" i="1"/>
  <c r="Z109" i="1" s="1"/>
  <c r="Y107" i="1"/>
  <c r="Z107" i="1" s="1"/>
  <c r="Y105" i="1"/>
  <c r="Z105" i="1" s="1"/>
  <c r="Y97" i="1"/>
  <c r="Z97" i="1" s="1"/>
  <c r="Y95" i="1"/>
  <c r="Z95" i="1" s="1"/>
  <c r="Y93" i="1"/>
  <c r="Z93" i="1" s="1"/>
  <c r="Y91" i="1"/>
  <c r="Z91" i="1" s="1"/>
  <c r="Y89" i="1"/>
  <c r="Z89" i="1" s="1"/>
  <c r="F75" i="1"/>
  <c r="F73" i="1"/>
  <c r="E73" i="1" s="1"/>
  <c r="F27" i="1"/>
  <c r="E27" i="1" s="1"/>
  <c r="F21" i="1"/>
  <c r="E21" i="1" s="1"/>
  <c r="F17" i="1"/>
  <c r="F13" i="1"/>
  <c r="Y13" i="1" s="1"/>
  <c r="Z13" i="1" s="1"/>
  <c r="F45" i="1"/>
  <c r="Y45" i="1" s="1"/>
  <c r="Z45" i="1" s="1"/>
  <c r="F43" i="1"/>
  <c r="Y43" i="1" s="1"/>
  <c r="Z43" i="1" s="1"/>
  <c r="F41" i="1"/>
  <c r="Y41" i="1" s="1"/>
  <c r="Z41" i="1" s="1"/>
  <c r="F39" i="1"/>
  <c r="Y39" i="1" s="1"/>
  <c r="Z39" i="1" s="1"/>
  <c r="F35" i="1"/>
  <c r="Y35" i="1" s="1"/>
  <c r="Z35" i="1" s="1"/>
  <c r="Y33" i="1"/>
  <c r="Z33" i="1" s="1"/>
  <c r="E75" i="1" l="1"/>
  <c r="Y75" i="1"/>
  <c r="Z75" i="1" s="1"/>
  <c r="E17" i="1"/>
  <c r="Y17" i="1"/>
  <c r="Z17" i="1" s="1"/>
  <c r="Y65" i="1"/>
  <c r="Z65" i="1" s="1"/>
  <c r="Y67" i="1"/>
  <c r="Z67" i="1" s="1"/>
  <c r="E49" i="1"/>
  <c r="E37" i="1"/>
  <c r="Y55" i="1"/>
  <c r="Z55" i="1" s="1"/>
  <c r="E53" i="1"/>
  <c r="E51" i="1"/>
  <c r="Y57" i="1"/>
  <c r="Z57" i="1" s="1"/>
  <c r="Y59" i="1"/>
  <c r="Z59" i="1" s="1"/>
  <c r="Y47" i="1"/>
  <c r="Z47" i="1" s="1"/>
  <c r="E63" i="1"/>
  <c r="E35" i="1"/>
  <c r="E39" i="1"/>
  <c r="E41" i="1"/>
  <c r="E43" i="1"/>
  <c r="E45" i="1"/>
  <c r="E13" i="1"/>
  <c r="Y21" i="1"/>
  <c r="Z21" i="1" s="1"/>
  <c r="Y27" i="1"/>
  <c r="Z27" i="1" s="1"/>
  <c r="Y29" i="1"/>
  <c r="Z29" i="1" s="1"/>
  <c r="Y73" i="1"/>
  <c r="Z73" i="1" s="1"/>
  <c r="E1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tc={C60E4AFC-0455-420B-B564-FA9FEA082AE0}</author>
    <author>Merary Ramirez Hernandez</author>
    <author>tc={6198C72F-83B7-4A41-948C-58B75A773F5C}</author>
    <author>tc={B8E53165-AF1E-4F1C-995D-38D4C0E5CEC7}</author>
    <author>tc={A55B0448-34BB-4688-BE1E-4814B6C8FC77}</author>
  </authors>
  <commentList>
    <comment ref="V14" authorId="0" shapeId="0" xr:uid="{C60E4AFC-0455-420B-B564-FA9FEA082AE0}">
      <text>
        <t>[Threaded comment]
Your version of Excel allows you to read this threaded comment; however, any edits to it will get removed if the file is opened in a newer version of Excel. Learn more: https://go.microsoft.com/fwlink/?linkid=870924
Comment:
    Lavado de equipo de llenado base agua, laboratorio rechaza la 1er muestra, se inicia envasado a las 22:30</t>
      </text>
    </comment>
    <comment ref="J16" authorId="1" shapeId="0" xr:uid="{8F60FEC7-E306-4F0A-A4EA-7CB2ECC7EAEE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envasan 604 cajas. El aumento de 200 fue para completar el turno y evitar parar la línea.</t>
        </r>
      </text>
    </comment>
    <comment ref="T18" authorId="2" shapeId="0" xr:uid="{6198C72F-83B7-4A41-948C-58B75A773F5C}">
      <text>
        <t>[Threaded comment]
Your version of Excel allows you to read this threaded comment; however, any edits to it will get removed if the file is opened in a newer version of Excel. Learn more: https://go.microsoft.com/fwlink/?linkid=870924
Comment:
    Lavado de linea, liberación por parte de calidad, ajuste de niveles</t>
      </text>
    </comment>
    <comment ref="P26" authorId="1" shapeId="0" xr:uid="{E2201586-52DF-4D69-BA58-4BF261416CDD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tiene problemas con la banda de orientador, le colocan resortes y queda el equipo trabajando.</t>
        </r>
      </text>
    </comment>
    <comment ref="R26" authorId="3" shapeId="0" xr:uid="{B8E53165-AF1E-4F1C-995D-38D4C0E5CEC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PRODUCCIÓN SIN PROBLEMAS</t>
      </text>
    </comment>
    <comment ref="S40" authorId="1" shapeId="0" xr:uid="{CF630E7E-950C-4363-8F9E-88575078012B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deja ajustada la linea.</t>
        </r>
      </text>
    </comment>
    <comment ref="M46" authorId="1" shapeId="0" xr:uid="{17963459-9021-4B0E-9F4B-17C4755F8502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ajusta la linea para envasar 15x950, no se requiere lavado. Faltan por envasar 959 cajas</t>
        </r>
      </text>
    </comment>
    <comment ref="N46" authorId="1" shapeId="0" xr:uid="{79BDD58B-1B13-4FDB-AE54-B255B0F670A2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No se tienen problemas durante el turno.</t>
        </r>
      </text>
    </comment>
    <comment ref="O46" authorId="1" shapeId="0" xr:uid="{2A67E4D9-89A4-4FEA-812F-B5375B279D1D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incorporan 6 cajas de un lote pasado que no entraron al almacén. Se obtienen 1196 cajas del mismo lote.</t>
        </r>
      </text>
    </comment>
    <comment ref="M48" authorId="1" shapeId="0" xr:uid="{41F23CE3-CCC9-43E7-8A16-FF27654B08D1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termina el envasado y se obtiene un total de 1002 cajas del mismo lote.
</t>
        </r>
      </text>
    </comment>
    <comment ref="O52" authorId="1" shapeId="0" xr:uid="{3B6CA07B-A07A-49D5-9D9F-6659A66125EB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obtuvieron 304 cajas, de los cuales 9 cajas son de reproceso. Por lo que se Envasaron 295 cajas y se reprocesaron 9 cajas</t>
        </r>
      </text>
    </comment>
    <comment ref="Q59" authorId="4" shapeId="0" xr:uid="{A55B0448-34BB-4688-BE1E-4814B6C8FC77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lava el equipo y se espera la liberación, se realiza trasvase de garrafas a contenedor para jalar el granel, y se tapa manual.</t>
      </text>
    </comment>
    <comment ref="Q60" authorId="1" shapeId="0" xr:uid="{77B2300E-9164-4EDD-B859-5A71E6DE9D7B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envasan 59 cajas y 33 pz sueltas=2393 pz.
El Vertigo se envaso en la llenadora pero se tapo manual porque no se tiene formato de 40 mm para la tapa
</t>
        </r>
      </text>
    </comment>
    <comment ref="R62" authorId="1" shapeId="0" xr:uid="{8B661FE1-4093-4D00-AFA9-ECB60894F24C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termina granel</t>
        </r>
      </text>
    </comment>
    <comment ref="S64" authorId="1" shapeId="0" xr:uid="{94250E14-9B25-418F-BA62-2F8B99D907DF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termina granel</t>
        </r>
      </text>
    </comment>
    <comment ref="Q66" authorId="1" shapeId="0" xr:uid="{07C9477B-E175-47EE-A7D2-3036F3387428}">
      <text>
        <r>
          <rPr>
            <b/>
            <sz val="9"/>
            <color indexed="81"/>
            <rFont val="Tahoma"/>
            <family val="2"/>
          </rPr>
          <t xml:space="preserve">Merary Ramirez Hernandez:
</t>
        </r>
        <r>
          <rPr>
            <sz val="9"/>
            <color indexed="81"/>
            <rFont val="Tahoma"/>
            <family val="2"/>
          </rPr>
          <t>Para Imparable se envaso todo manual porque eran muy pocas cajas, se iba a mermar mucho producto, y se iba a perder tiempo lavando, ajustando la Linea y la llenadora. Y se tenia disponible a 3 personas en reprocesos que podían envasar, y a la par Envasar Vertigo 1.8% en la llenadora.</t>
        </r>
      </text>
    </comment>
    <comment ref="O70" authorId="1" shapeId="0" xr:uid="{ED799C36-122D-45D6-B759-BEC7B4A3A06C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consumen los 138 Lt del granel obteniendo 9 cajas y 9 PZ, es decir 144 pz.</t>
        </r>
      </text>
    </comment>
    <comment ref="J80" authorId="1" shapeId="0" xr:uid="{77C7652C-D010-4F7B-A077-550446662062}">
      <text>
        <r>
          <rPr>
            <b/>
            <sz val="9"/>
            <color indexed="81"/>
            <rFont val="Tahoma"/>
            <family val="2"/>
          </rPr>
          <t>Merary Ramirez Hernandez:</t>
        </r>
        <r>
          <rPr>
            <sz val="9"/>
            <color indexed="81"/>
            <rFont val="Tahoma"/>
            <family val="2"/>
          </rPr>
          <t xml:space="preserve">
Se realizá la descarga de 12 tambos de 200 LT.</t>
        </r>
      </text>
    </comment>
  </commentList>
</comments>
</file>

<file path=xl/sharedStrings.xml><?xml version="1.0" encoding="utf-8"?>
<sst xmlns="http://schemas.openxmlformats.org/spreadsheetml/2006/main" count="1192" uniqueCount="191">
  <si>
    <t>FR-05-35a</t>
  </si>
  <si>
    <t xml:space="preserve">         PROGRAMA DE PRODUCCIÓN SEMANAL</t>
  </si>
  <si>
    <t>Edición 2</t>
  </si>
  <si>
    <t>Pagina 1 de 1</t>
  </si>
  <si>
    <t>AL:</t>
  </si>
  <si>
    <t>fabricado</t>
  </si>
  <si>
    <t>no fabricado</t>
  </si>
  <si>
    <t>VIERNES</t>
  </si>
  <si>
    <t>SABADO</t>
  </si>
  <si>
    <t>DOMINGO</t>
  </si>
  <si>
    <t>LUNES</t>
  </si>
  <si>
    <t>MARTES</t>
  </si>
  <si>
    <t>MIERCOLES</t>
  </si>
  <si>
    <t xml:space="preserve">JUEVES </t>
  </si>
  <si>
    <t xml:space="preserve">TOTAL FABRICADO </t>
  </si>
  <si>
    <t>CUMPLIMIENTO %</t>
  </si>
  <si>
    <t>1 er</t>
  </si>
  <si>
    <t>2 do</t>
  </si>
  <si>
    <t>CLAVE</t>
  </si>
  <si>
    <t>DESCRIPCION</t>
  </si>
  <si>
    <t>Programa</t>
  </si>
  <si>
    <t>Por Fabricar</t>
  </si>
  <si>
    <t>Fabricado</t>
  </si>
  <si>
    <t>Existencia</t>
  </si>
  <si>
    <t>OBSERVACIONES</t>
  </si>
  <si>
    <t>ENVASADO HERBICIDAS 1 LITRO</t>
  </si>
  <si>
    <t>H034</t>
  </si>
  <si>
    <t>FITOAMINA 15X950 ML</t>
  </si>
  <si>
    <t/>
  </si>
  <si>
    <t>H032</t>
  </si>
  <si>
    <t>LAFAM 15X970 ML BV</t>
  </si>
  <si>
    <t>H256</t>
  </si>
  <si>
    <t>DRAGOCAMBA 15X1 LT</t>
  </si>
  <si>
    <t>TERMINAR DICAMBA</t>
  </si>
  <si>
    <t>H209</t>
  </si>
  <si>
    <t>GLIFOPAAK 15X970 BV</t>
  </si>
  <si>
    <t>ENVASADO HERBICIDAS 5 LITROS</t>
  </si>
  <si>
    <t>H073</t>
  </si>
  <si>
    <t>LAFAM 4X5 LT BV</t>
  </si>
  <si>
    <t xml:space="preserve">ENVASADO INSECTICIDAS </t>
  </si>
  <si>
    <t>L201</t>
  </si>
  <si>
    <t>COMBAT 20 15X950</t>
  </si>
  <si>
    <t>L202</t>
  </si>
  <si>
    <t>COMBAT 20 21X240 ML</t>
  </si>
  <si>
    <t>L084</t>
  </si>
  <si>
    <t>FOLEY MAX  15X950 ML</t>
  </si>
  <si>
    <t>L086</t>
  </si>
  <si>
    <t>FOLEY MAX 48X240 ML</t>
  </si>
  <si>
    <t>TERMINAR ET TERMO</t>
  </si>
  <si>
    <t>L164</t>
  </si>
  <si>
    <t>ROGOR DRAGON 15X950 ML</t>
  </si>
  <si>
    <t>L167</t>
  </si>
  <si>
    <t>ROGOR DRAGON 21X240 ML</t>
  </si>
  <si>
    <t>L400</t>
  </si>
  <si>
    <t>FOLEY REY 15X950 ML</t>
  </si>
  <si>
    <t>L402</t>
  </si>
  <si>
    <t>FOLEY REY 48X240 ML</t>
  </si>
  <si>
    <t>L350</t>
  </si>
  <si>
    <t>PAQUETE TORMENTA 1X12 PAQ</t>
  </si>
  <si>
    <t xml:space="preserve">TERMINAR BENZOATO DE EMAMECTINA </t>
  </si>
  <si>
    <t>C016</t>
  </si>
  <si>
    <t>FULL EXTENSOR 21X240 ML</t>
  </si>
  <si>
    <t>FUL001</t>
  </si>
  <si>
    <t>AXOTRON 15X950 ML</t>
  </si>
  <si>
    <t>L002</t>
  </si>
  <si>
    <t>GRANBIOL 21X240 ML</t>
  </si>
  <si>
    <t>L023</t>
  </si>
  <si>
    <t>COMPAS 15X950 ML</t>
  </si>
  <si>
    <t>VERTIGO 1.8% CE 40 X 240 ML</t>
  </si>
  <si>
    <t>NO LLEVA INSTRUCTIVO</t>
  </si>
  <si>
    <t>L044</t>
  </si>
  <si>
    <t>DIAZINON 25% 15X950 ML</t>
  </si>
  <si>
    <t xml:space="preserve">TERMINAR ET TERMO </t>
  </si>
  <si>
    <t>L048</t>
  </si>
  <si>
    <t>DIAZINON 600 15X950 ML</t>
  </si>
  <si>
    <t>IMPARABLE 48X100 ML</t>
  </si>
  <si>
    <t>L029</t>
  </si>
  <si>
    <t>COMPAS 480 2X10 LT</t>
  </si>
  <si>
    <t>L106</t>
  </si>
  <si>
    <t>AKARIS 15X950 ML</t>
  </si>
  <si>
    <t>Granel 138 LT</t>
  </si>
  <si>
    <t>FORMULACIÓN TECNICOS (VENTAS)</t>
  </si>
  <si>
    <t>TEC006</t>
  </si>
  <si>
    <t>AMINA 480 200 LT</t>
  </si>
  <si>
    <t>TEC031</t>
  </si>
  <si>
    <t>EUROSATO 200LT</t>
  </si>
  <si>
    <t>TEC051</t>
  </si>
  <si>
    <t>DIAZINON 25% 1000 LT</t>
  </si>
  <si>
    <t>TEC037</t>
  </si>
  <si>
    <t>BIFENTRINA 200 LT</t>
  </si>
  <si>
    <t>TEC017</t>
  </si>
  <si>
    <t>IMIDA 350 200 LTS</t>
  </si>
  <si>
    <t>TEC092</t>
  </si>
  <si>
    <t>CLORPIRIFOS 13,624% 208 LT</t>
  </si>
  <si>
    <t>FORMULACIÓN</t>
  </si>
  <si>
    <t>MP0490</t>
  </si>
  <si>
    <t>GLIFOSATO AL 62%</t>
  </si>
  <si>
    <t>GR3995</t>
  </si>
  <si>
    <t>GLIFOSATO AL 41%</t>
  </si>
  <si>
    <t>GR3888</t>
  </si>
  <si>
    <t>BIFENTRINA 100 FORMULADA</t>
  </si>
  <si>
    <t>GR0251</t>
  </si>
  <si>
    <t>DIAZINON 600</t>
  </si>
  <si>
    <t>GR3867</t>
  </si>
  <si>
    <t xml:space="preserve">CLORPIRIFOS ETIL 480 </t>
  </si>
  <si>
    <t>GR0150</t>
  </si>
  <si>
    <t>COMBAT</t>
  </si>
  <si>
    <t>GR4115</t>
  </si>
  <si>
    <t>CLORPIRIFOS 13,624% UVL</t>
  </si>
  <si>
    <t>CLORPIRIFOS+PERMETRINA</t>
  </si>
  <si>
    <t>REPROCESOS HERBICIDAS</t>
  </si>
  <si>
    <t xml:space="preserve">Meter en la produccion </t>
  </si>
  <si>
    <t>REPROCESOS INSECTICIDAS</t>
  </si>
  <si>
    <t>BIFENTRINA GRANEL</t>
  </si>
  <si>
    <t>Vaciar  L107 AKARIS 21X240 ML 84 pz en la nueva formulación.</t>
  </si>
  <si>
    <t>C017</t>
  </si>
  <si>
    <t>FULL EXTENSOR 15X950 ML</t>
  </si>
  <si>
    <t xml:space="preserve">meter las piezas en el envasado de la linea </t>
  </si>
  <si>
    <t>PLANTA</t>
  </si>
  <si>
    <t>AREA</t>
  </si>
  <si>
    <t>LÍNEA</t>
  </si>
  <si>
    <t>BASE</t>
  </si>
  <si>
    <t>CÓDIGO</t>
  </si>
  <si>
    <t>DESCRIPCIÓN</t>
  </si>
  <si>
    <t>ABC</t>
  </si>
  <si>
    <t>INGREDIENTE ACTIVO O CLIENTE</t>
  </si>
  <si>
    <t xml:space="preserve">CANTIDAD </t>
  </si>
  <si>
    <t>UM</t>
  </si>
  <si>
    <t xml:space="preserve">EXISTENCIA </t>
  </si>
  <si>
    <t>COMENTARIOS</t>
  </si>
  <si>
    <t>SALDO</t>
  </si>
  <si>
    <t>V1T</t>
  </si>
  <si>
    <t>V2T</t>
  </si>
  <si>
    <t>S</t>
  </si>
  <si>
    <t>D</t>
  </si>
  <si>
    <t>L1T</t>
  </si>
  <si>
    <t>L2T</t>
  </si>
  <si>
    <t>M1T</t>
  </si>
  <si>
    <t>M2T</t>
  </si>
  <si>
    <t>X1T</t>
  </si>
  <si>
    <t>X2T</t>
  </si>
  <si>
    <t>J1T</t>
  </si>
  <si>
    <t>J2T</t>
  </si>
  <si>
    <t>LIQUIDOS</t>
  </si>
  <si>
    <t>HERBICIDAS</t>
  </si>
  <si>
    <t>LINEA 1</t>
  </si>
  <si>
    <t>AGUA</t>
  </si>
  <si>
    <t>A</t>
  </si>
  <si>
    <t>2,4 D ACIDO</t>
  </si>
  <si>
    <t>CJ</t>
  </si>
  <si>
    <t>SOLVESO</t>
  </si>
  <si>
    <t>H355</t>
  </si>
  <si>
    <t>HURACAN FORTE-ALEADO 15X1 PQ</t>
  </si>
  <si>
    <t>AMETRINA+HEXAZINONA+METSULFURO</t>
  </si>
  <si>
    <t xml:space="preserve">TERMINAR SOBRE ALEADO </t>
  </si>
  <si>
    <t>GLIFOSATO</t>
  </si>
  <si>
    <t>B</t>
  </si>
  <si>
    <t>DICAMBA 480</t>
  </si>
  <si>
    <t>H064</t>
  </si>
  <si>
    <t>DRAGON 101 15X1 PICLORAM</t>
  </si>
  <si>
    <t>PICLORAM + 2,4-D</t>
  </si>
  <si>
    <t>LINEA 2</t>
  </si>
  <si>
    <t>H005</t>
  </si>
  <si>
    <t>FITOAMINA 40 4X5 LT</t>
  </si>
  <si>
    <t>H246</t>
  </si>
  <si>
    <t>ESPARTACUS 4 X 5 LT</t>
  </si>
  <si>
    <t>AMETRINA + 2,4 D</t>
  </si>
  <si>
    <t>H061</t>
  </si>
  <si>
    <t>DRAGON 101 4X5 LT PICLORAM</t>
  </si>
  <si>
    <t>H062</t>
  </si>
  <si>
    <t>DRAGON 101 2X10 LT PICLORAM</t>
  </si>
  <si>
    <t>LINEA 3</t>
  </si>
  <si>
    <t>C</t>
  </si>
  <si>
    <t>LT</t>
  </si>
  <si>
    <t>INSECTICIDAS</t>
  </si>
  <si>
    <t>LINEA 4</t>
  </si>
  <si>
    <t>CIPERMETRINA</t>
  </si>
  <si>
    <t>CLORPIRIFOS</t>
  </si>
  <si>
    <t>DIMETOATO</t>
  </si>
  <si>
    <t>CLORPIRIFOS + PERMETRINA</t>
  </si>
  <si>
    <t>Liq /Polvo</t>
  </si>
  <si>
    <t>DELTAMETRINA + BENZOATO EMAMECTINA</t>
  </si>
  <si>
    <t>POLIETER POLIMETILSILOXANO COP</t>
  </si>
  <si>
    <t>AZOXYSTROBIN</t>
  </si>
  <si>
    <t>DELTAMETRINA+BUTOXIDO DE P.</t>
  </si>
  <si>
    <t>ABAMECTINA</t>
  </si>
  <si>
    <t>DIAZINON</t>
  </si>
  <si>
    <t>POLAQUIMIA</t>
  </si>
  <si>
    <t>LINEA 5</t>
  </si>
  <si>
    <t xml:space="preserve">BIFENTRINA </t>
  </si>
  <si>
    <t>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</si>
</sst>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rgb="FFFF0000"/>
      <name val="Arial Black"/>
      <family val="2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9"/>
      <name val="Arial"/>
      <family val="2"/>
    </font>
    <font>
      <b/>
      <sz val="11"/>
      <color rgb="FFFFFFFF"/>
      <name val="Arial"/>
      <family val="2"/>
    </font>
    <font>
      <b/>
      <sz val="22"/>
      <color rgb="FFFF0000"/>
      <name val="Arial Black"/>
      <family val="2"/>
    </font>
    <font>
      <b/>
      <sz val="11"/>
      <name val="Arial"/>
      <family val="2"/>
    </font>
    <font>
      <b/>
      <sz val="14"/>
      <color theme="0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1F4E7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6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left"/>
    </xf>
    <xf numFmtId="0" fontId="5" fillId="0" borderId="0" xfId="0" applyFont="1" applyAlignment="1">
      <alignment horizontal="center" vertical="center"/>
    </xf>
    <xf numFmtId="0" fontId="4" fillId="0" borderId="0" xfId="0" applyFont="1"/>
    <xf numFmtId="0" fontId="6" fillId="0" borderId="0" xfId="0" applyFont="1"/>
    <xf numFmtId="14" fontId="0" fillId="0" borderId="2" xfId="0" applyNumberFormat="1" applyBorder="1" applyAlignment="1">
      <alignment horizontal="right"/>
    </xf>
    <xf numFmtId="14" fontId="0" fillId="0" borderId="2" xfId="0" applyNumberFormat="1" applyBorder="1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4" borderId="8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wrapText="1"/>
    </xf>
    <xf numFmtId="0" fontId="2" fillId="0" borderId="10" xfId="0" applyFont="1" applyBorder="1" applyAlignment="1">
      <alignment horizontal="center" wrapText="1"/>
    </xf>
    <xf numFmtId="0" fontId="0" fillId="0" borderId="0" xfId="0" applyAlignment="1">
      <alignment vertical="center" wrapText="1"/>
    </xf>
    <xf numFmtId="3" fontId="12" fillId="9" borderId="1" xfId="0" applyNumberFormat="1" applyFont="1" applyFill="1" applyBorder="1" applyAlignment="1">
      <alignment horizontal="center" vertical="center"/>
    </xf>
    <xf numFmtId="3" fontId="12" fillId="0" borderId="1" xfId="0" applyNumberFormat="1" applyFont="1" applyBorder="1" applyAlignment="1">
      <alignment horizontal="center" vertical="center"/>
    </xf>
    <xf numFmtId="0" fontId="2" fillId="0" borderId="0" xfId="0" applyFont="1"/>
    <xf numFmtId="3" fontId="10" fillId="7" borderId="3" xfId="0" applyNumberFormat="1" applyFont="1" applyFill="1" applyBorder="1" applyAlignment="1">
      <alignment horizontal="center" vertical="center"/>
    </xf>
    <xf numFmtId="3" fontId="10" fillId="7" borderId="4" xfId="0" applyNumberFormat="1" applyFont="1" applyFill="1" applyBorder="1" applyAlignment="1">
      <alignment horizontal="center" vertical="center"/>
    </xf>
    <xf numFmtId="0" fontId="19" fillId="14" borderId="3" xfId="0" applyFont="1" applyFill="1" applyBorder="1" applyAlignment="1">
      <alignment horizontal="center" vertical="center"/>
    </xf>
    <xf numFmtId="0" fontId="18" fillId="15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17" fillId="0" borderId="0" xfId="0" applyFont="1" applyAlignment="1">
      <alignment horizontal="center"/>
    </xf>
    <xf numFmtId="1" fontId="14" fillId="0" borderId="0" xfId="0" applyNumberFormat="1" applyFont="1" applyAlignment="1">
      <alignment horizontal="right" vertical="center"/>
    </xf>
    <xf numFmtId="0" fontId="17" fillId="0" borderId="0" xfId="0" applyFont="1" applyProtection="1">
      <protection locked="0"/>
    </xf>
    <xf numFmtId="165" fontId="14" fillId="0" borderId="0" xfId="1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0" fontId="17" fillId="0" borderId="0" xfId="0" applyFont="1"/>
    <xf numFmtId="0" fontId="1" fillId="10" borderId="12" xfId="0" applyFont="1" applyFill="1" applyBorder="1" applyAlignment="1">
      <alignment vertical="center"/>
    </xf>
    <xf numFmtId="0" fontId="4" fillId="0" borderId="15" xfId="0" applyFont="1" applyBorder="1" applyAlignment="1">
      <alignment horizontal="center"/>
    </xf>
    <xf numFmtId="0" fontId="3" fillId="16" borderId="16" xfId="0" applyFont="1" applyFill="1" applyBorder="1" applyAlignment="1">
      <alignment vertical="center"/>
    </xf>
    <xf numFmtId="0" fontId="3" fillId="16" borderId="17" xfId="0" applyFont="1" applyFill="1" applyBorder="1" applyAlignment="1">
      <alignment vertical="center"/>
    </xf>
    <xf numFmtId="0" fontId="3" fillId="16" borderId="7" xfId="0" applyFont="1" applyFill="1" applyBorder="1" applyAlignment="1">
      <alignment vertical="center"/>
    </xf>
    <xf numFmtId="0" fontId="3" fillId="16" borderId="18" xfId="0" applyFont="1" applyFill="1" applyBorder="1" applyAlignment="1">
      <alignment vertical="center"/>
    </xf>
    <xf numFmtId="0" fontId="3" fillId="16" borderId="0" xfId="0" applyFont="1" applyFill="1" applyAlignment="1">
      <alignment vertical="center"/>
    </xf>
    <xf numFmtId="0" fontId="3" fillId="16" borderId="14" xfId="0" applyFont="1" applyFill="1" applyBorder="1" applyAlignment="1">
      <alignment vertical="center"/>
    </xf>
    <xf numFmtId="0" fontId="3" fillId="16" borderId="11" xfId="0" applyFont="1" applyFill="1" applyBorder="1" applyAlignment="1">
      <alignment vertical="center"/>
    </xf>
    <xf numFmtId="0" fontId="3" fillId="16" borderId="12" xfId="0" applyFont="1" applyFill="1" applyBorder="1" applyAlignment="1">
      <alignment vertical="center"/>
    </xf>
    <xf numFmtId="0" fontId="3" fillId="16" borderId="9" xfId="0" applyFont="1" applyFill="1" applyBorder="1" applyAlignment="1">
      <alignment vertical="center"/>
    </xf>
    <xf numFmtId="0" fontId="20" fillId="16" borderId="0" xfId="0" applyFont="1" applyFill="1" applyAlignment="1">
      <alignment vertical="center"/>
    </xf>
    <xf numFmtId="3" fontId="12" fillId="0" borderId="3" xfId="0" applyNumberFormat="1" applyFont="1" applyBorder="1" applyAlignment="1">
      <alignment horizontal="center" vertical="center"/>
    </xf>
    <xf numFmtId="3" fontId="12" fillId="9" borderId="4" xfId="0" applyNumberFormat="1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vertical="center" wrapText="1"/>
    </xf>
    <xf numFmtId="0" fontId="1" fillId="12" borderId="17" xfId="0" applyFont="1" applyFill="1" applyBorder="1" applyAlignment="1">
      <alignment vertical="center" wrapText="1"/>
    </xf>
    <xf numFmtId="3" fontId="10" fillId="7" borderId="19" xfId="0" applyNumberFormat="1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vertical="center"/>
    </xf>
    <xf numFmtId="0" fontId="1" fillId="10" borderId="17" xfId="0" applyFont="1" applyFill="1" applyBorder="1" applyAlignment="1">
      <alignment vertical="center"/>
    </xf>
    <xf numFmtId="0" fontId="2" fillId="6" borderId="17" xfId="0" applyFont="1" applyFill="1" applyBorder="1" applyAlignment="1">
      <alignment vertical="center" wrapText="1"/>
    </xf>
    <xf numFmtId="0" fontId="2" fillId="6" borderId="12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2" fillId="11" borderId="12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 wrapText="1"/>
    </xf>
    <xf numFmtId="0" fontId="2" fillId="6" borderId="16" xfId="0" applyFont="1" applyFill="1" applyBorder="1" applyAlignment="1">
      <alignment vertical="center"/>
    </xf>
    <xf numFmtId="0" fontId="2" fillId="6" borderId="17" xfId="0" applyFont="1" applyFill="1" applyBorder="1" applyAlignment="1">
      <alignment vertical="center"/>
    </xf>
    <xf numFmtId="0" fontId="21" fillId="0" borderId="19" xfId="0" applyFont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22" fillId="10" borderId="12" xfId="0" applyFont="1" applyFill="1" applyBorder="1" applyAlignment="1">
      <alignment vertical="center"/>
    </xf>
    <xf numFmtId="0" fontId="8" fillId="6" borderId="11" xfId="0" applyFont="1" applyFill="1" applyBorder="1" applyAlignment="1">
      <alignment vertical="center"/>
    </xf>
    <xf numFmtId="0" fontId="11" fillId="17" borderId="17" xfId="0" applyFont="1" applyFill="1" applyBorder="1" applyAlignment="1">
      <alignment vertical="center"/>
    </xf>
    <xf numFmtId="0" fontId="13" fillId="17" borderId="12" xfId="0" applyFont="1" applyFill="1" applyBorder="1" applyAlignment="1">
      <alignment vertical="center"/>
    </xf>
    <xf numFmtId="0" fontId="11" fillId="17" borderId="12" xfId="0" applyFont="1" applyFill="1" applyBorder="1" applyAlignment="1">
      <alignment vertical="center"/>
    </xf>
    <xf numFmtId="0" fontId="8" fillId="11" borderId="11" xfId="0" applyFont="1" applyFill="1" applyBorder="1" applyAlignment="1">
      <alignment vertical="center"/>
    </xf>
    <xf numFmtId="0" fontId="22" fillId="12" borderId="11" xfId="0" applyFont="1" applyFill="1" applyBorder="1" applyAlignment="1">
      <alignment vertical="center" wrapText="1"/>
    </xf>
    <xf numFmtId="0" fontId="10" fillId="0" borderId="0" xfId="0" applyFont="1" applyAlignment="1">
      <alignment vertical="center"/>
    </xf>
    <xf numFmtId="0" fontId="0" fillId="0" borderId="0" xfId="0" applyProtection="1">
      <protection locked="0"/>
    </xf>
    <xf numFmtId="0" fontId="10" fillId="0" borderId="0" xfId="0" applyFont="1" applyAlignment="1">
      <alignment horizontal="center" vertical="center"/>
    </xf>
    <xf numFmtId="165" fontId="10" fillId="0" borderId="0" xfId="1" applyNumberFormat="1" applyFont="1" applyFill="1" applyBorder="1" applyAlignment="1">
      <alignment vertical="center"/>
    </xf>
    <xf numFmtId="165" fontId="10" fillId="0" borderId="0" xfId="1" applyNumberFormat="1" applyFont="1" applyFill="1" applyBorder="1" applyAlignment="1">
      <alignment horizontal="left"/>
    </xf>
    <xf numFmtId="0" fontId="23" fillId="0" borderId="0" xfId="0" applyFont="1"/>
    <xf numFmtId="0" fontId="23" fillId="16" borderId="0" xfId="0" applyFont="1" applyFill="1"/>
    <xf numFmtId="3" fontId="23" fillId="0" borderId="0" xfId="0" applyNumberFormat="1" applyFont="1"/>
    <xf numFmtId="0" fontId="10" fillId="0" borderId="0" xfId="0" applyFont="1" applyAlignment="1">
      <alignment horizontal="left" vertical="center"/>
    </xf>
    <xf numFmtId="165" fontId="10" fillId="0" borderId="0" xfId="1" applyNumberFormat="1" applyFont="1" applyFill="1" applyBorder="1" applyAlignment="1">
      <alignment horizontal="right" vertical="center"/>
    </xf>
    <xf numFmtId="165" fontId="0" fillId="0" borderId="0" xfId="1" applyNumberFormat="1" applyFont="1" applyFill="1" applyBorder="1" applyProtection="1">
      <protection locked="0"/>
    </xf>
    <xf numFmtId="0" fontId="10" fillId="0" borderId="1" xfId="0" applyFont="1" applyBorder="1" applyAlignment="1">
      <alignment vertical="center"/>
    </xf>
    <xf numFmtId="0" fontId="0" fillId="0" borderId="15" xfId="0" applyBorder="1" applyProtection="1">
      <protection locked="0"/>
    </xf>
    <xf numFmtId="165" fontId="10" fillId="0" borderId="2" xfId="1" applyNumberFormat="1" applyFont="1" applyFill="1" applyBorder="1" applyAlignment="1">
      <alignment horizontal="left"/>
    </xf>
    <xf numFmtId="0" fontId="23" fillId="0" borderId="20" xfId="0" applyFont="1" applyBorder="1"/>
    <xf numFmtId="0" fontId="23" fillId="0" borderId="21" xfId="0" applyFont="1" applyBorder="1"/>
    <xf numFmtId="0" fontId="23" fillId="0" borderId="22" xfId="0" applyFont="1" applyBorder="1"/>
    <xf numFmtId="0" fontId="23" fillId="0" borderId="2" xfId="0" applyFont="1" applyBorder="1"/>
    <xf numFmtId="0" fontId="23" fillId="16" borderId="22" xfId="0" applyFont="1" applyFill="1" applyBorder="1"/>
    <xf numFmtId="0" fontId="24" fillId="0" borderId="15" xfId="0" applyFont="1" applyBorder="1" applyAlignment="1" applyProtection="1">
      <alignment horizontal="center"/>
      <protection locked="0"/>
    </xf>
    <xf numFmtId="0" fontId="23" fillId="16" borderId="20" xfId="0" applyFont="1" applyFill="1" applyBorder="1"/>
    <xf numFmtId="0" fontId="23" fillId="16" borderId="21" xfId="0" applyFont="1" applyFill="1" applyBorder="1"/>
    <xf numFmtId="0" fontId="23" fillId="16" borderId="2" xfId="0" applyFont="1" applyFill="1" applyBorder="1"/>
    <xf numFmtId="3" fontId="23" fillId="0" borderId="20" xfId="0" applyNumberFormat="1" applyFont="1" applyBorder="1"/>
    <xf numFmtId="3" fontId="23" fillId="0" borderId="21" xfId="0" applyNumberFormat="1" applyFont="1" applyBorder="1"/>
    <xf numFmtId="3" fontId="12" fillId="16" borderId="1" xfId="0" applyNumberFormat="1" applyFont="1" applyFill="1" applyBorder="1" applyAlignment="1">
      <alignment horizontal="center" vertical="center"/>
    </xf>
    <xf numFmtId="0" fontId="11" fillId="17" borderId="17" xfId="0" applyFont="1" applyFill="1" applyBorder="1" applyAlignment="1">
      <alignment horizontal="center" vertical="center" wrapText="1"/>
    </xf>
    <xf numFmtId="0" fontId="11" fillId="17" borderId="12" xfId="0" applyFont="1" applyFill="1" applyBorder="1" applyAlignment="1">
      <alignment horizontal="center" vertical="center" wrapText="1"/>
    </xf>
    <xf numFmtId="3" fontId="11" fillId="7" borderId="3" xfId="0" applyNumberFormat="1" applyFont="1" applyFill="1" applyBorder="1" applyAlignment="1">
      <alignment horizontal="center" vertical="center"/>
    </xf>
    <xf numFmtId="3" fontId="11" fillId="7" borderId="4" xfId="0" applyNumberFormat="1" applyFont="1" applyFill="1" applyBorder="1" applyAlignment="1">
      <alignment horizontal="center" vertical="center"/>
    </xf>
    <xf numFmtId="3" fontId="13" fillId="7" borderId="3" xfId="0" applyNumberFormat="1" applyFont="1" applyFill="1" applyBorder="1" applyAlignment="1">
      <alignment horizontal="center" vertical="center"/>
    </xf>
    <xf numFmtId="3" fontId="13" fillId="7" borderId="4" xfId="0" applyNumberFormat="1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3" fontId="13" fillId="7" borderId="19" xfId="0" applyNumberFormat="1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11" borderId="7" xfId="0" applyFont="1" applyFill="1" applyBorder="1" applyAlignment="1">
      <alignment horizontal="center" wrapText="1"/>
    </xf>
    <xf numFmtId="0" fontId="2" fillId="11" borderId="9" xfId="0" applyFont="1" applyFill="1" applyBorder="1" applyAlignment="1">
      <alignment horizontal="center" wrapText="1"/>
    </xf>
    <xf numFmtId="3" fontId="11" fillId="7" borderId="3" xfId="0" applyNumberFormat="1" applyFont="1" applyFill="1" applyBorder="1" applyAlignment="1">
      <alignment horizontal="center" vertical="center" wrapText="1"/>
    </xf>
    <xf numFmtId="3" fontId="11" fillId="7" borderId="4" xfId="0" applyNumberFormat="1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1" fillId="10" borderId="7" xfId="0" applyFont="1" applyFill="1" applyBorder="1" applyAlignment="1">
      <alignment horizontal="center" vertical="center" wrapText="1"/>
    </xf>
    <xf numFmtId="0" fontId="1" fillId="10" borderId="9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wrapText="1"/>
    </xf>
    <xf numFmtId="0" fontId="2" fillId="11" borderId="12" xfId="0" applyFont="1" applyFill="1" applyBorder="1" applyAlignment="1">
      <alignment horizontal="center" wrapText="1"/>
    </xf>
    <xf numFmtId="3" fontId="10" fillId="7" borderId="3" xfId="0" applyNumberFormat="1" applyFont="1" applyFill="1" applyBorder="1" applyAlignment="1">
      <alignment horizontal="center" vertical="center"/>
    </xf>
    <xf numFmtId="3" fontId="10" fillId="7" borderId="4" xfId="0" applyNumberFormat="1" applyFont="1" applyFill="1" applyBorder="1" applyAlignment="1">
      <alignment horizontal="center" vertical="center"/>
    </xf>
    <xf numFmtId="3" fontId="13" fillId="7" borderId="1" xfId="0" applyNumberFormat="1" applyFont="1" applyFill="1" applyBorder="1" applyAlignment="1">
      <alignment horizontal="center" vertical="center"/>
    </xf>
    <xf numFmtId="0" fontId="1" fillId="12" borderId="17" xfId="0" applyFont="1" applyFill="1" applyBorder="1" applyAlignment="1">
      <alignment horizontal="center" vertical="center" wrapText="1"/>
    </xf>
    <xf numFmtId="0" fontId="1" fillId="12" borderId="12" xfId="0" applyFont="1" applyFill="1" applyBorder="1" applyAlignment="1">
      <alignment horizontal="center" vertical="center" wrapText="1"/>
    </xf>
    <xf numFmtId="1" fontId="10" fillId="13" borderId="3" xfId="0" applyNumberFormat="1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3" fontId="11" fillId="7" borderId="19" xfId="0" applyNumberFormat="1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left" vertical="center"/>
    </xf>
    <xf numFmtId="0" fontId="15" fillId="13" borderId="4" xfId="0" applyFont="1" applyFill="1" applyBorder="1" applyAlignment="1">
      <alignment horizontal="left" vertical="center"/>
    </xf>
    <xf numFmtId="0" fontId="10" fillId="13" borderId="3" xfId="0" applyFont="1" applyFill="1" applyBorder="1" applyAlignment="1">
      <alignment horizontal="left" vertical="center"/>
    </xf>
    <xf numFmtId="0" fontId="10" fillId="13" borderId="4" xfId="0" applyFont="1" applyFill="1" applyBorder="1" applyAlignment="1">
      <alignment horizontal="left" vertical="center"/>
    </xf>
    <xf numFmtId="1" fontId="10" fillId="13" borderId="4" xfId="0" applyNumberFormat="1" applyFont="1" applyFill="1" applyBorder="1" applyAlignment="1">
      <alignment horizontal="center" vertical="center"/>
    </xf>
    <xf numFmtId="3" fontId="5" fillId="7" borderId="3" xfId="0" applyNumberFormat="1" applyFont="1" applyFill="1" applyBorder="1" applyAlignment="1">
      <alignment horizontal="center" vertical="center"/>
    </xf>
    <xf numFmtId="3" fontId="5" fillId="7" borderId="4" xfId="0" applyNumberFormat="1" applyFont="1" applyFill="1" applyBorder="1" applyAlignment="1">
      <alignment horizontal="center" vertical="center"/>
    </xf>
    <xf numFmtId="3" fontId="11" fillId="7" borderId="19" xfId="0" applyNumberFormat="1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0" fillId="7" borderId="4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left" vertical="center" wrapText="1"/>
    </xf>
    <xf numFmtId="0" fontId="10" fillId="8" borderId="4" xfId="0" applyFont="1" applyFill="1" applyBorder="1" applyAlignment="1">
      <alignment horizontal="left" vertical="center" wrapText="1"/>
    </xf>
    <xf numFmtId="0" fontId="10" fillId="8" borderId="19" xfId="0" applyFont="1" applyFill="1" applyBorder="1" applyAlignment="1">
      <alignment horizontal="left" vertical="center" wrapText="1"/>
    </xf>
    <xf numFmtId="3" fontId="10" fillId="7" borderId="19" xfId="0" applyNumberFormat="1" applyFont="1" applyFill="1" applyBorder="1" applyAlignment="1">
      <alignment horizontal="center" vertical="center"/>
    </xf>
    <xf numFmtId="3" fontId="5" fillId="7" borderId="19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left" vertical="center" wrapText="1"/>
    </xf>
    <xf numFmtId="3" fontId="10" fillId="7" borderId="1" xfId="0" applyNumberFormat="1" applyFont="1" applyFill="1" applyBorder="1" applyAlignment="1">
      <alignment horizontal="center" vertical="center"/>
    </xf>
    <xf numFmtId="0" fontId="10" fillId="7" borderId="19" xfId="0" applyFont="1" applyFill="1" applyBorder="1" applyAlignment="1">
      <alignment horizontal="left" vertical="center" wrapText="1"/>
    </xf>
    <xf numFmtId="0" fontId="0" fillId="0" borderId="13" xfId="0" applyBorder="1" applyAlignment="1">
      <alignment horizontal="center"/>
    </xf>
    <xf numFmtId="0" fontId="8" fillId="0" borderId="0" xfId="0" applyFont="1" applyAlignment="1">
      <alignment horizontal="center" wrapText="1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 wrapText="1"/>
    </xf>
    <xf numFmtId="0" fontId="8" fillId="0" borderId="9" xfId="0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10" fillId="8" borderId="1" xfId="0" applyFont="1" applyFill="1" applyBorder="1" applyAlignment="1">
      <alignment horizontal="left" vertical="center" wrapText="1"/>
    </xf>
    <xf numFmtId="0" fontId="1" fillId="12" borderId="7" xfId="0" applyFont="1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3" fontId="10" fillId="7" borderId="3" xfId="0" applyNumberFormat="1" applyFont="1" applyFill="1" applyBorder="1" applyAlignment="1">
      <alignment horizontal="center" vertical="center" wrapText="1"/>
    </xf>
    <xf numFmtId="3" fontId="10" fillId="7" borderId="4" xfId="0" applyNumberFormat="1" applyFont="1" applyFill="1" applyBorder="1" applyAlignment="1">
      <alignment horizontal="center" vertical="center" wrapText="1"/>
    </xf>
    <xf numFmtId="0" fontId="15" fillId="13" borderId="19" xfId="0" applyFont="1" applyFill="1" applyBorder="1" applyAlignment="1">
      <alignment horizontal="left" vertical="center"/>
    </xf>
    <xf numFmtId="0" fontId="10" fillId="13" borderId="19" xfId="0" applyFont="1" applyFill="1" applyBorder="1" applyAlignment="1">
      <alignment horizontal="left" vertical="center"/>
    </xf>
    <xf numFmtId="0" fontId="10" fillId="13" borderId="19" xfId="0" applyFont="1" applyFill="1" applyBorder="1" applyAlignment="1">
      <alignment horizontal="center" vertical="center"/>
    </xf>
    <xf numFmtId="3" fontId="25" fillId="7" borderId="19" xfId="0" applyNumberFormat="1" applyFont="1" applyFill="1" applyBorder="1" applyAlignment="1">
      <alignment horizontal="center" vertical="center" wrapText="1"/>
    </xf>
    <xf numFmtId="3" fontId="25" fillId="7" borderId="4" xfId="0" applyNumberFormat="1" applyFont="1" applyFill="1" applyBorder="1" applyAlignment="1">
      <alignment horizontal="center" vertical="center" wrapText="1"/>
    </xf>
    <xf numFmtId="0" fontId="11" fillId="17" borderId="7" xfId="0" applyFont="1" applyFill="1" applyBorder="1" applyAlignment="1">
      <alignment horizontal="center" vertical="center" wrapText="1"/>
    </xf>
    <xf numFmtId="0" fontId="11" fillId="17" borderId="9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61"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119912</xdr:colOff>
      <xdr:row>0</xdr:row>
      <xdr:rowOff>54429</xdr:rowOff>
    </xdr:from>
    <xdr:ext cx="1070653" cy="615298"/>
    <xdr:pic>
      <xdr:nvPicPr>
        <xdr:cNvPr id="2" name="Imagen 1">
          <a:extLst>
            <a:ext uri="{FF2B5EF4-FFF2-40B4-BE49-F238E27FC236}">
              <a16:creationId xmlns:a16="http://schemas.microsoft.com/office/drawing/2014/main" id="{367FC31C-5C3D-4251-A210-618A36013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812" y="54429"/>
          <a:ext cx="1070653" cy="61529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/PC-05%20Producci&#243;n%20(liquidos%20y%20polvos)/IV.%20Registros%20(Resultados)-liquidos/35-FR-05-35a/12Diciembre/Programa%20liquidos%20Semana%2052%2021-27%20Di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OS "/>
      <sheetName val="Semana 52"/>
      <sheetName val="INSECTIDAS 1 L"/>
      <sheetName val="HERBICIDAS 1 L"/>
      <sheetName val="HERBICIDAS 5 L"/>
      <sheetName val="Hoja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rene Flores Navarrete" id="{524FB464-A581-4597-A335-10D9B54B9AA4}" userId="S::iflores@dragon.com.mx::30d1af25-54a6-4639-9fa9-3fd2936e51f7" providerId="AD"/>
  <person displayName="Javier Alonso Cruz" id="{5198185F-A5D9-4F21-89E6-8AB156D6BC74}" userId="S::jalonso@dragon.com.mx::2e4d1381-ee14-48fc-b6e8-a97813c39c95" providerId="AD"/>
  <person displayName="Carlos de Jesus Padilla Cortes" id="{BFBCB59C-18B1-498A-9786-56663E4A8279}" userId="S::cpadilla@dragon.com.mx::e1214f61-d363-4366-a8e7-4ce67e3a9a8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14" dT="2023-01-09T13:37:00.59" personId="{BFBCB59C-18B1-498A-9786-56663E4A8279}" id="{C60E4AFC-0455-420B-B564-FA9FEA082AE0}">
    <text>Lavado de equipo de llenado base agua, laboratorio rechaza la 1er muestra, se inicia envasado a las 22:30</text>
  </threadedComment>
  <threadedComment ref="T18" dT="2023-01-06T13:12:32.63" personId="{5198185F-A5D9-4F21-89E6-8AB156D6BC74}" id="{6198C72F-83B7-4A41-948C-58B75A773F5C}">
    <text>Lavado de linea, liberación por parte de calidad, ajuste de niveles</text>
  </threadedComment>
  <threadedComment ref="R26" dT="2023-01-05T13:46:46.15" personId="{BFBCB59C-18B1-498A-9786-56663E4A8279}" id="{B8E53165-AF1E-4F1C-995D-38D4C0E5CEC7}">
    <text>PRODUCCIÓN SIN PROBLEMAS</text>
  </threadedComment>
  <threadedComment ref="Q59" dT="2023-01-05T14:10:21.07" personId="{524FB464-A581-4597-A335-10D9B54B9AA4}" id="{A55B0448-34BB-4688-BE1E-4814B6C8FC77}">
    <text>Se lava el equipo y se espera la liberación, se realiza trasvase de garrafas a contenedor para jalar el granel, y se tapa manual.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3BA02-5D3F-480F-8B48-62DFF3A010FE}">
  <sheetPr codeName="Hoja1"/>
  <dimension ref="A1:AF138"/>
  <sheetViews>
    <sheetView tabSelected="1" zoomScale="191" zoomScaleNormal="80" workbookViewId="0">
      <pane xSplit="8" ySplit="10" topLeftCell="S36" activePane="bottomRight" state="frozen"/>
      <selection pane="topRight" activeCell="I1" sqref="I1"/>
      <selection pane="bottomLeft" activeCell="A11" sqref="A11"/>
      <selection pane="bottomRight" activeCell="C5" sqref="C5"/>
    </sheetView>
  </sheetViews>
  <sheetFormatPr baseColWidth="10" defaultColWidth="21" defaultRowHeight="14.5" customHeight="1" x14ac:dyDescent="0.25"/>
  <cols>
    <col min="1" max="1" width="2.5" customWidth="1"/>
    <col min="2" max="2" width="18" style="1" customWidth="1"/>
    <col min="3" max="3" width="38.33203125" customWidth="1"/>
    <col min="4" max="4" width="9.33203125" customWidth="1"/>
    <col min="5" max="5" width="11.33203125" customWidth="1"/>
    <col min="6" max="7" width="14" customWidth="1"/>
    <col min="8" max="8" width="25.6640625" bestFit="1" customWidth="1"/>
    <col min="9" max="24" width="10.5" customWidth="1"/>
    <col min="25" max="25" width="14.83203125" style="3" customWidth="1"/>
    <col min="26" max="26" width="19" style="3" customWidth="1"/>
  </cols>
  <sheetData>
    <row r="1" spans="2:26" ht="17.5" customHeight="1" x14ac:dyDescent="0.25">
      <c r="B1" s="143"/>
      <c r="C1" s="37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9"/>
      <c r="Z1" s="36" t="s">
        <v>0</v>
      </c>
    </row>
    <row r="2" spans="2:26" ht="17.5" customHeight="1" x14ac:dyDescent="0.25">
      <c r="B2" s="143"/>
      <c r="C2" s="40"/>
      <c r="D2" s="41"/>
      <c r="E2" s="41"/>
      <c r="F2" s="41"/>
      <c r="G2" s="41"/>
      <c r="H2" s="46" t="s">
        <v>1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2"/>
      <c r="Z2" s="36" t="s">
        <v>2</v>
      </c>
    </row>
    <row r="3" spans="2:26" ht="17.5" customHeight="1" x14ac:dyDescent="0.25">
      <c r="B3" s="143"/>
      <c r="C3" s="43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5"/>
      <c r="Z3" s="36" t="s">
        <v>3</v>
      </c>
    </row>
    <row r="4" spans="2:26" ht="14.25" customHeight="1" x14ac:dyDescent="0.25"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</row>
    <row r="5" spans="2:26" ht="14.25" customHeight="1" x14ac:dyDescent="0.25">
      <c r="B5" s="4" t="s">
        <v>190</v>
      </c>
      <c r="C5" s="5">
        <v>44921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</row>
    <row r="6" spans="2:26" ht="14.25" customHeight="1" x14ac:dyDescent="0.2">
      <c r="B6" s="4" t="s">
        <v>4</v>
      </c>
      <c r="C6" s="6">
        <v>44934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144"/>
      <c r="Z6" s="144"/>
    </row>
    <row r="7" spans="2:26" ht="14.25" customHeight="1" thickBot="1" x14ac:dyDescent="0.25">
      <c r="B7" s="4" t="s">
        <v>5</v>
      </c>
      <c r="C7" s="7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44"/>
      <c r="Z7" s="144"/>
    </row>
    <row r="8" spans="2:26" ht="14.25" customHeight="1" thickBot="1" x14ac:dyDescent="0.25">
      <c r="B8" s="4" t="s">
        <v>6</v>
      </c>
      <c r="C8" s="8"/>
      <c r="D8" s="2"/>
      <c r="E8" s="2"/>
      <c r="F8" s="2"/>
      <c r="G8" s="2"/>
      <c r="H8" s="2"/>
      <c r="I8" s="145" t="s">
        <v>7</v>
      </c>
      <c r="J8" s="146"/>
      <c r="K8" s="9" t="s">
        <v>8</v>
      </c>
      <c r="L8" s="9" t="s">
        <v>9</v>
      </c>
      <c r="M8" s="145" t="s">
        <v>10</v>
      </c>
      <c r="N8" s="146"/>
      <c r="O8" s="145" t="s">
        <v>11</v>
      </c>
      <c r="P8" s="146"/>
      <c r="Q8" s="145" t="s">
        <v>12</v>
      </c>
      <c r="R8" s="146"/>
      <c r="S8" s="145" t="s">
        <v>13</v>
      </c>
      <c r="T8" s="146"/>
      <c r="U8" s="145" t="s">
        <v>7</v>
      </c>
      <c r="V8" s="146"/>
      <c r="W8" s="9" t="s">
        <v>8</v>
      </c>
      <c r="X8" s="9" t="s">
        <v>9</v>
      </c>
      <c r="Y8" s="147" t="s">
        <v>14</v>
      </c>
      <c r="Z8" s="149" t="s">
        <v>15</v>
      </c>
    </row>
    <row r="9" spans="2:26" s="11" customFormat="1" ht="36.75" customHeight="1" thickBot="1" x14ac:dyDescent="0.25">
      <c r="B9" s="10"/>
      <c r="D9" s="12"/>
      <c r="E9" s="12"/>
      <c r="F9" s="12"/>
      <c r="G9" s="12"/>
      <c r="H9" s="12"/>
      <c r="I9" s="13" t="s">
        <v>16</v>
      </c>
      <c r="J9" s="14" t="s">
        <v>17</v>
      </c>
      <c r="K9" s="13" t="s">
        <v>16</v>
      </c>
      <c r="L9" s="13" t="s">
        <v>16</v>
      </c>
      <c r="M9" s="13" t="s">
        <v>16</v>
      </c>
      <c r="N9" s="14" t="s">
        <v>17</v>
      </c>
      <c r="O9" s="13" t="s">
        <v>16</v>
      </c>
      <c r="P9" s="14" t="s">
        <v>17</v>
      </c>
      <c r="Q9" s="13" t="s">
        <v>16</v>
      </c>
      <c r="R9" s="14" t="s">
        <v>17</v>
      </c>
      <c r="S9" s="13" t="s">
        <v>16</v>
      </c>
      <c r="T9" s="14" t="s">
        <v>17</v>
      </c>
      <c r="U9" s="13" t="s">
        <v>16</v>
      </c>
      <c r="V9" s="14" t="s">
        <v>17</v>
      </c>
      <c r="W9" s="13" t="s">
        <v>16</v>
      </c>
      <c r="X9" s="13" t="s">
        <v>16</v>
      </c>
      <c r="Y9" s="148"/>
      <c r="Z9" s="150"/>
    </row>
    <row r="10" spans="2:26" s="18" customFormat="1" ht="27.75" customHeight="1" thickBot="1" x14ac:dyDescent="0.25">
      <c r="B10" s="15" t="s">
        <v>18</v>
      </c>
      <c r="C10" s="15" t="s">
        <v>19</v>
      </c>
      <c r="D10" s="16" t="s">
        <v>20</v>
      </c>
      <c r="E10" s="17" t="s">
        <v>21</v>
      </c>
      <c r="F10" s="16" t="s">
        <v>22</v>
      </c>
      <c r="G10" s="16" t="s">
        <v>23</v>
      </c>
      <c r="H10" s="16" t="s">
        <v>24</v>
      </c>
      <c r="I10" s="15">
        <v>30</v>
      </c>
      <c r="J10" s="15">
        <f>I10</f>
        <v>30</v>
      </c>
      <c r="K10" s="15">
        <f>J10+1</f>
        <v>31</v>
      </c>
      <c r="L10" s="15">
        <v>1</v>
      </c>
      <c r="M10" s="15">
        <f>L10+1</f>
        <v>2</v>
      </c>
      <c r="N10" s="15">
        <f>M10</f>
        <v>2</v>
      </c>
      <c r="O10" s="15">
        <f>N10+1</f>
        <v>3</v>
      </c>
      <c r="P10" s="15">
        <f>O10</f>
        <v>3</v>
      </c>
      <c r="Q10" s="15">
        <f>P10+1</f>
        <v>4</v>
      </c>
      <c r="R10" s="15">
        <f>Q10</f>
        <v>4</v>
      </c>
      <c r="S10" s="15">
        <f>R10+1</f>
        <v>5</v>
      </c>
      <c r="T10" s="15">
        <f>S10</f>
        <v>5</v>
      </c>
      <c r="U10" s="15">
        <f>T10+1</f>
        <v>6</v>
      </c>
      <c r="V10" s="15">
        <f>U10</f>
        <v>6</v>
      </c>
      <c r="W10" s="15">
        <f>V10+1</f>
        <v>7</v>
      </c>
      <c r="X10" s="15">
        <f>W10+1</f>
        <v>8</v>
      </c>
      <c r="Y10" s="54"/>
      <c r="Z10" s="54"/>
    </row>
    <row r="11" spans="2:26" s="21" customFormat="1" ht="5.5" customHeight="1" x14ac:dyDescent="0.2">
      <c r="B11" s="53"/>
      <c r="C11" s="53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13"/>
    </row>
    <row r="12" spans="2:26" s="21" customFormat="1" ht="14.5" customHeight="1" x14ac:dyDescent="0.2">
      <c r="B12" s="63" t="s">
        <v>25</v>
      </c>
      <c r="C12" s="35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14"/>
    </row>
    <row r="13" spans="2:26" s="21" customFormat="1" ht="14.25" customHeight="1" x14ac:dyDescent="0.2">
      <c r="B13" s="133" t="s">
        <v>26</v>
      </c>
      <c r="C13" s="135" t="s">
        <v>27</v>
      </c>
      <c r="D13" s="117">
        <v>4000</v>
      </c>
      <c r="E13" s="130">
        <f>D13-F13</f>
        <v>3163</v>
      </c>
      <c r="F13" s="98">
        <f>SUM(I14:X14)</f>
        <v>837</v>
      </c>
      <c r="G13" s="98"/>
      <c r="H13" s="109">
        <v>0</v>
      </c>
      <c r="I13" s="19" t="s">
        <v>28</v>
      </c>
      <c r="J13" s="19" t="s">
        <v>28</v>
      </c>
      <c r="K13" s="19" t="s">
        <v>28</v>
      </c>
      <c r="L13" s="19" t="s">
        <v>28</v>
      </c>
      <c r="M13" s="19" t="s">
        <v>28</v>
      </c>
      <c r="N13" s="19" t="s">
        <v>28</v>
      </c>
      <c r="O13" s="19" t="s">
        <v>28</v>
      </c>
      <c r="P13" s="19" t="s">
        <v>28</v>
      </c>
      <c r="Q13" s="19" t="s">
        <v>28</v>
      </c>
      <c r="R13" s="19" t="s">
        <v>28</v>
      </c>
      <c r="S13" s="19" t="s">
        <v>28</v>
      </c>
      <c r="T13" s="19"/>
      <c r="U13" s="19" t="s">
        <v>28</v>
      </c>
      <c r="V13" s="19">
        <v>1600</v>
      </c>
      <c r="W13" s="19" t="s">
        <v>28</v>
      </c>
      <c r="X13" s="19" t="s">
        <v>28</v>
      </c>
      <c r="Y13" s="100">
        <f>F13</f>
        <v>837</v>
      </c>
      <c r="Z13" s="100">
        <f>(Y13/D13)*100</f>
        <v>20.925000000000001</v>
      </c>
    </row>
    <row r="14" spans="2:26" s="21" customFormat="1" ht="14.25" customHeight="1" x14ac:dyDescent="0.2">
      <c r="B14" s="134"/>
      <c r="C14" s="136"/>
      <c r="D14" s="118"/>
      <c r="E14" s="131"/>
      <c r="F14" s="99"/>
      <c r="G14" s="99"/>
      <c r="H14" s="11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>
        <v>837</v>
      </c>
      <c r="W14" s="20"/>
      <c r="X14" s="20"/>
      <c r="Y14" s="101"/>
      <c r="Z14" s="101"/>
    </row>
    <row r="15" spans="2:26" ht="14.5" customHeight="1" x14ac:dyDescent="0.2">
      <c r="B15" s="133" t="s">
        <v>29</v>
      </c>
      <c r="C15" s="135" t="s">
        <v>30</v>
      </c>
      <c r="D15" s="117">
        <v>2000</v>
      </c>
      <c r="E15" s="130">
        <f>D15-F15</f>
        <v>1396</v>
      </c>
      <c r="F15" s="98">
        <f>SUM(I16:X16)</f>
        <v>604</v>
      </c>
      <c r="G15" s="98"/>
      <c r="H15" s="109">
        <v>0</v>
      </c>
      <c r="I15" s="19" t="s">
        <v>28</v>
      </c>
      <c r="J15" s="19">
        <v>400</v>
      </c>
      <c r="K15" s="19" t="s">
        <v>28</v>
      </c>
      <c r="L15" s="19" t="s">
        <v>28</v>
      </c>
      <c r="M15" s="19" t="s">
        <v>28</v>
      </c>
      <c r="N15" s="19" t="s">
        <v>28</v>
      </c>
      <c r="O15" s="19" t="s">
        <v>28</v>
      </c>
      <c r="P15" s="19" t="s">
        <v>28</v>
      </c>
      <c r="Q15" s="19" t="s">
        <v>28</v>
      </c>
      <c r="R15" s="19" t="s">
        <v>28</v>
      </c>
      <c r="S15" s="19" t="s">
        <v>28</v>
      </c>
      <c r="T15" s="19" t="s">
        <v>28</v>
      </c>
      <c r="U15" s="19" t="s">
        <v>28</v>
      </c>
      <c r="V15" s="19" t="s">
        <v>28</v>
      </c>
      <c r="W15" s="19" t="s">
        <v>28</v>
      </c>
      <c r="X15" s="19" t="s">
        <v>28</v>
      </c>
      <c r="Y15" s="100">
        <f>F15</f>
        <v>604</v>
      </c>
      <c r="Z15" s="100">
        <f>(Y15/D15)*100</f>
        <v>30.2</v>
      </c>
    </row>
    <row r="16" spans="2:26" ht="14.5" customHeight="1" x14ac:dyDescent="0.2">
      <c r="B16" s="134"/>
      <c r="C16" s="136"/>
      <c r="D16" s="118"/>
      <c r="E16" s="131"/>
      <c r="F16" s="99"/>
      <c r="G16" s="99"/>
      <c r="H16" s="110"/>
      <c r="I16" s="20"/>
      <c r="J16" s="20">
        <v>604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101"/>
      <c r="Z16" s="101"/>
    </row>
    <row r="17" spans="2:26" ht="14.5" customHeight="1" x14ac:dyDescent="0.2">
      <c r="B17" s="133" t="s">
        <v>31</v>
      </c>
      <c r="C17" s="135" t="s">
        <v>32</v>
      </c>
      <c r="D17" s="141">
        <v>215</v>
      </c>
      <c r="E17" s="130">
        <f t="shared" ref="E17" si="0">D17-F17</f>
        <v>1</v>
      </c>
      <c r="F17" s="98">
        <f t="shared" ref="F17" si="1">SUM(I18:X18)</f>
        <v>214</v>
      </c>
      <c r="G17" s="98"/>
      <c r="H17" s="109" t="s">
        <v>33</v>
      </c>
      <c r="I17" s="19" t="s">
        <v>28</v>
      </c>
      <c r="J17" s="19" t="s">
        <v>28</v>
      </c>
      <c r="K17" s="19" t="s">
        <v>28</v>
      </c>
      <c r="L17" s="19" t="s">
        <v>28</v>
      </c>
      <c r="M17" s="19" t="s">
        <v>28</v>
      </c>
      <c r="N17" s="19" t="s">
        <v>28</v>
      </c>
      <c r="O17" s="19" t="s">
        <v>28</v>
      </c>
      <c r="P17" s="19" t="s">
        <v>28</v>
      </c>
      <c r="Q17" s="19" t="s">
        <v>28</v>
      </c>
      <c r="R17" s="19" t="s">
        <v>28</v>
      </c>
      <c r="S17" s="19" t="s">
        <v>28</v>
      </c>
      <c r="T17" s="19">
        <v>214</v>
      </c>
      <c r="U17" s="19" t="s">
        <v>28</v>
      </c>
      <c r="V17" s="19" t="s">
        <v>28</v>
      </c>
      <c r="W17" s="19" t="s">
        <v>28</v>
      </c>
      <c r="X17" s="19" t="s">
        <v>28</v>
      </c>
      <c r="Y17" s="100">
        <f>F17</f>
        <v>214</v>
      </c>
      <c r="Z17" s="100">
        <f>(Y17/D17)*100</f>
        <v>99.534883720930239</v>
      </c>
    </row>
    <row r="18" spans="2:26" ht="14.5" customHeight="1" x14ac:dyDescent="0.2">
      <c r="B18" s="134"/>
      <c r="C18" s="136"/>
      <c r="D18" s="141"/>
      <c r="E18" s="131"/>
      <c r="F18" s="99"/>
      <c r="G18" s="99"/>
      <c r="H18" s="11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>
        <v>214</v>
      </c>
      <c r="U18" s="20"/>
      <c r="V18" s="20"/>
      <c r="W18" s="20"/>
      <c r="X18" s="20"/>
      <c r="Y18" s="101"/>
      <c r="Z18" s="101"/>
    </row>
    <row r="19" spans="2:26" ht="14.5" customHeight="1" x14ac:dyDescent="0.2">
      <c r="B19" s="133" t="s">
        <v>34</v>
      </c>
      <c r="C19" s="135" t="s">
        <v>35</v>
      </c>
      <c r="D19" s="117">
        <v>1000</v>
      </c>
      <c r="E19" s="130">
        <f t="shared" ref="E19" si="2">D19-F19</f>
        <v>0</v>
      </c>
      <c r="F19" s="98">
        <f t="shared" ref="F19" si="3">SUM(I20:X20)</f>
        <v>1000</v>
      </c>
      <c r="G19" s="98"/>
      <c r="H19" s="109">
        <v>0</v>
      </c>
      <c r="I19" s="19" t="s">
        <v>28</v>
      </c>
      <c r="J19" s="19">
        <v>1000</v>
      </c>
      <c r="K19" s="19" t="s">
        <v>28</v>
      </c>
      <c r="L19" s="19" t="s">
        <v>28</v>
      </c>
      <c r="M19" s="19" t="s">
        <v>28</v>
      </c>
      <c r="N19" s="19" t="s">
        <v>28</v>
      </c>
      <c r="O19" s="19" t="s">
        <v>28</v>
      </c>
      <c r="P19" s="19" t="s">
        <v>28</v>
      </c>
      <c r="Q19" s="19" t="s">
        <v>28</v>
      </c>
      <c r="R19" s="19" t="s">
        <v>28</v>
      </c>
      <c r="S19" s="19" t="s">
        <v>28</v>
      </c>
      <c r="T19" s="19" t="s">
        <v>28</v>
      </c>
      <c r="U19" s="19" t="s">
        <v>28</v>
      </c>
      <c r="V19" s="19" t="s">
        <v>28</v>
      </c>
      <c r="W19" s="19" t="s">
        <v>28</v>
      </c>
      <c r="X19" s="19" t="s">
        <v>28</v>
      </c>
      <c r="Y19" s="100">
        <f>F19</f>
        <v>1000</v>
      </c>
      <c r="Z19" s="100">
        <f>(Y19/D19)*100</f>
        <v>100</v>
      </c>
    </row>
    <row r="20" spans="2:26" ht="14.5" customHeight="1" x14ac:dyDescent="0.2">
      <c r="B20" s="134"/>
      <c r="C20" s="136"/>
      <c r="D20" s="118"/>
      <c r="E20" s="131"/>
      <c r="F20" s="99"/>
      <c r="G20" s="99"/>
      <c r="H20" s="110"/>
      <c r="I20" s="20"/>
      <c r="J20" s="20">
        <v>1000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101"/>
      <c r="Z20" s="101"/>
    </row>
    <row r="21" spans="2:26" ht="14.5" customHeight="1" x14ac:dyDescent="0.2">
      <c r="B21" s="133">
        <v>0</v>
      </c>
      <c r="C21" s="135">
        <v>0</v>
      </c>
      <c r="D21" s="117">
        <v>0</v>
      </c>
      <c r="E21" s="130">
        <f>D21-F21</f>
        <v>0</v>
      </c>
      <c r="F21" s="98">
        <f>SUM(I22:X22)</f>
        <v>0</v>
      </c>
      <c r="G21" s="98"/>
      <c r="H21" s="109" t="s">
        <v>28</v>
      </c>
      <c r="I21" s="19" t="s">
        <v>28</v>
      </c>
      <c r="J21" s="19" t="s">
        <v>28</v>
      </c>
      <c r="K21" s="19" t="s">
        <v>28</v>
      </c>
      <c r="L21" s="19" t="s">
        <v>28</v>
      </c>
      <c r="M21" s="19" t="s">
        <v>28</v>
      </c>
      <c r="N21" s="19" t="s">
        <v>28</v>
      </c>
      <c r="O21" s="19" t="s">
        <v>28</v>
      </c>
      <c r="P21" s="19" t="s">
        <v>28</v>
      </c>
      <c r="Q21" s="19" t="s">
        <v>28</v>
      </c>
      <c r="R21" s="19" t="s">
        <v>28</v>
      </c>
      <c r="S21" s="19" t="s">
        <v>28</v>
      </c>
      <c r="T21" s="19" t="s">
        <v>28</v>
      </c>
      <c r="U21" s="19" t="s">
        <v>28</v>
      </c>
      <c r="V21" s="19" t="s">
        <v>28</v>
      </c>
      <c r="W21" s="19" t="s">
        <v>28</v>
      </c>
      <c r="X21" s="19" t="s">
        <v>28</v>
      </c>
      <c r="Y21" s="100">
        <f>F21</f>
        <v>0</v>
      </c>
      <c r="Z21" s="100" t="e">
        <f>(Y21/D21)*100</f>
        <v>#DIV/0!</v>
      </c>
    </row>
    <row r="22" spans="2:26" ht="14.5" customHeight="1" x14ac:dyDescent="0.2">
      <c r="B22" s="134"/>
      <c r="C22" s="136"/>
      <c r="D22" s="118"/>
      <c r="E22" s="131"/>
      <c r="F22" s="99"/>
      <c r="G22" s="99"/>
      <c r="H22" s="11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101"/>
      <c r="Z22" s="101"/>
    </row>
    <row r="23" spans="2:26" s="21" customFormat="1" ht="5.5" customHeight="1" x14ac:dyDescent="0.2">
      <c r="B23" s="65"/>
      <c r="C23" s="65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161"/>
    </row>
    <row r="24" spans="2:26" s="21" customFormat="1" ht="14.5" customHeight="1" x14ac:dyDescent="0.2">
      <c r="B24" s="66" t="s">
        <v>36</v>
      </c>
      <c r="C24" s="6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162"/>
    </row>
    <row r="25" spans="2:26" ht="14.5" customHeight="1" x14ac:dyDescent="0.2">
      <c r="B25" s="133" t="s">
        <v>37</v>
      </c>
      <c r="C25" s="135" t="s">
        <v>38</v>
      </c>
      <c r="D25" s="117">
        <v>2700</v>
      </c>
      <c r="E25" s="130">
        <f>D25-F25</f>
        <v>0</v>
      </c>
      <c r="F25" s="98">
        <f>SUM(I26:X26)</f>
        <v>2700</v>
      </c>
      <c r="G25" s="98"/>
      <c r="H25" s="109">
        <v>0</v>
      </c>
      <c r="I25" s="19" t="s">
        <v>28</v>
      </c>
      <c r="J25" s="19" t="s">
        <v>28</v>
      </c>
      <c r="K25" s="19" t="s">
        <v>28</v>
      </c>
      <c r="L25" s="19" t="s">
        <v>28</v>
      </c>
      <c r="M25" s="19" t="s">
        <v>28</v>
      </c>
      <c r="N25" s="19" t="s">
        <v>28</v>
      </c>
      <c r="O25" s="19" t="s">
        <v>28</v>
      </c>
      <c r="P25" s="19">
        <v>1100</v>
      </c>
      <c r="Q25" s="19" t="s">
        <v>28</v>
      </c>
      <c r="R25" s="19">
        <v>1100</v>
      </c>
      <c r="S25" s="19" t="s">
        <v>28</v>
      </c>
      <c r="T25" s="19">
        <v>529</v>
      </c>
      <c r="U25" s="19" t="s">
        <v>28</v>
      </c>
      <c r="V25" s="19" t="s">
        <v>28</v>
      </c>
      <c r="W25" s="19" t="s">
        <v>28</v>
      </c>
      <c r="X25" s="19" t="s">
        <v>28</v>
      </c>
      <c r="Y25" s="100">
        <f>F25</f>
        <v>2700</v>
      </c>
      <c r="Z25" s="100">
        <f>(Y25/D25)*100</f>
        <v>100</v>
      </c>
    </row>
    <row r="26" spans="2:26" ht="14.5" customHeight="1" x14ac:dyDescent="0.2">
      <c r="B26" s="134"/>
      <c r="C26" s="136"/>
      <c r="D26" s="118"/>
      <c r="E26" s="131"/>
      <c r="F26" s="99"/>
      <c r="G26" s="99"/>
      <c r="H26" s="110"/>
      <c r="I26" s="20"/>
      <c r="J26" s="20"/>
      <c r="K26" s="20"/>
      <c r="L26" s="20"/>
      <c r="M26" s="20"/>
      <c r="N26" s="20"/>
      <c r="O26" s="20"/>
      <c r="P26" s="20">
        <v>1018</v>
      </c>
      <c r="Q26" s="20"/>
      <c r="R26" s="20">
        <v>1153</v>
      </c>
      <c r="S26" s="20"/>
      <c r="T26" s="20">
        <v>529</v>
      </c>
      <c r="U26" s="20"/>
      <c r="V26" s="20"/>
      <c r="W26" s="20"/>
      <c r="X26" s="20"/>
      <c r="Y26" s="101"/>
      <c r="Z26" s="101"/>
    </row>
    <row r="27" spans="2:26" ht="14.5" customHeight="1" x14ac:dyDescent="0.2">
      <c r="B27" s="133">
        <v>0</v>
      </c>
      <c r="C27" s="135">
        <v>0</v>
      </c>
      <c r="D27" s="117">
        <v>0</v>
      </c>
      <c r="E27" s="130">
        <f>D27-F27</f>
        <v>0</v>
      </c>
      <c r="F27" s="98">
        <f>SUM(I28:X28)</f>
        <v>0</v>
      </c>
      <c r="G27" s="98"/>
      <c r="H27" s="109" t="s">
        <v>28</v>
      </c>
      <c r="I27" s="19" t="s">
        <v>28</v>
      </c>
      <c r="J27" s="19" t="s">
        <v>28</v>
      </c>
      <c r="K27" s="19" t="s">
        <v>28</v>
      </c>
      <c r="L27" s="19" t="s">
        <v>28</v>
      </c>
      <c r="M27" s="19" t="s">
        <v>28</v>
      </c>
      <c r="N27" s="19" t="s">
        <v>28</v>
      </c>
      <c r="O27" s="19" t="s">
        <v>28</v>
      </c>
      <c r="P27" s="19" t="s">
        <v>28</v>
      </c>
      <c r="Q27" s="19" t="s">
        <v>28</v>
      </c>
      <c r="R27" s="19" t="s">
        <v>28</v>
      </c>
      <c r="S27" s="19" t="s">
        <v>28</v>
      </c>
      <c r="T27" s="19" t="s">
        <v>28</v>
      </c>
      <c r="U27" s="19" t="s">
        <v>28</v>
      </c>
      <c r="V27" s="19" t="s">
        <v>28</v>
      </c>
      <c r="W27" s="19" t="s">
        <v>28</v>
      </c>
      <c r="X27" s="19" t="s">
        <v>28</v>
      </c>
      <c r="Y27" s="100">
        <f>F27</f>
        <v>0</v>
      </c>
      <c r="Z27" s="100" t="e">
        <f>(Y27/D27)*100</f>
        <v>#DIV/0!</v>
      </c>
    </row>
    <row r="28" spans="2:26" ht="14.5" customHeight="1" x14ac:dyDescent="0.2">
      <c r="B28" s="134"/>
      <c r="C28" s="136"/>
      <c r="D28" s="118"/>
      <c r="E28" s="131"/>
      <c r="F28" s="99"/>
      <c r="G28" s="99"/>
      <c r="H28" s="11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101"/>
      <c r="Z28" s="101"/>
    </row>
    <row r="29" spans="2:26" ht="14.5" customHeight="1" x14ac:dyDescent="0.2">
      <c r="B29" s="133">
        <v>0</v>
      </c>
      <c r="C29" s="135">
        <v>0</v>
      </c>
      <c r="D29" s="117">
        <v>0</v>
      </c>
      <c r="E29" s="130">
        <f>D29-F29</f>
        <v>0</v>
      </c>
      <c r="F29" s="98">
        <f>SUM(I30:X30)</f>
        <v>0</v>
      </c>
      <c r="G29" s="98"/>
      <c r="H29" s="109" t="s">
        <v>28</v>
      </c>
      <c r="I29" s="19" t="s">
        <v>28</v>
      </c>
      <c r="J29" s="19" t="s">
        <v>28</v>
      </c>
      <c r="K29" s="19" t="s">
        <v>28</v>
      </c>
      <c r="L29" s="19" t="s">
        <v>28</v>
      </c>
      <c r="M29" s="19" t="s">
        <v>28</v>
      </c>
      <c r="N29" s="19" t="s">
        <v>28</v>
      </c>
      <c r="O29" s="19" t="s">
        <v>28</v>
      </c>
      <c r="P29" s="19" t="s">
        <v>28</v>
      </c>
      <c r="Q29" s="19" t="s">
        <v>28</v>
      </c>
      <c r="R29" s="19" t="s">
        <v>28</v>
      </c>
      <c r="S29" s="19" t="s">
        <v>28</v>
      </c>
      <c r="T29" s="19" t="s">
        <v>28</v>
      </c>
      <c r="U29" s="19" t="s">
        <v>28</v>
      </c>
      <c r="V29" s="19" t="s">
        <v>28</v>
      </c>
      <c r="W29" s="19" t="s">
        <v>28</v>
      </c>
      <c r="X29" s="19" t="s">
        <v>28</v>
      </c>
      <c r="Y29" s="100">
        <f>F29</f>
        <v>0</v>
      </c>
      <c r="Z29" s="100" t="e">
        <f>(Y29/D29)*100</f>
        <v>#DIV/0!</v>
      </c>
    </row>
    <row r="30" spans="2:26" ht="14.5" customHeight="1" x14ac:dyDescent="0.2">
      <c r="B30" s="134"/>
      <c r="C30" s="136"/>
      <c r="D30" s="118"/>
      <c r="E30" s="131"/>
      <c r="F30" s="99"/>
      <c r="G30" s="99"/>
      <c r="H30" s="11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101"/>
      <c r="Z30" s="101"/>
    </row>
    <row r="31" spans="2:26" ht="5.5" customHeight="1" x14ac:dyDescent="0.2">
      <c r="B31" s="59"/>
      <c r="C31" s="60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11"/>
    </row>
    <row r="32" spans="2:26" ht="14.5" customHeight="1" x14ac:dyDescent="0.2">
      <c r="B32" s="64" t="s">
        <v>39</v>
      </c>
      <c r="C32" s="55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12"/>
    </row>
    <row r="33" spans="2:26" ht="14.5" customHeight="1" x14ac:dyDescent="0.2">
      <c r="B33" s="142" t="s">
        <v>40</v>
      </c>
      <c r="C33" s="137" t="s">
        <v>41</v>
      </c>
      <c r="D33" s="138">
        <v>1000</v>
      </c>
      <c r="E33" s="139">
        <f>D33-F33</f>
        <v>1000</v>
      </c>
      <c r="F33" s="124">
        <f>SUM(I34:X34)</f>
        <v>0</v>
      </c>
      <c r="G33" s="124"/>
      <c r="H33" s="132">
        <v>0</v>
      </c>
      <c r="I33" s="48" t="s">
        <v>28</v>
      </c>
      <c r="J33" s="48" t="s">
        <v>28</v>
      </c>
      <c r="K33" s="48" t="s">
        <v>28</v>
      </c>
      <c r="L33" s="48" t="s">
        <v>28</v>
      </c>
      <c r="M33" s="48" t="s">
        <v>28</v>
      </c>
      <c r="N33" s="48" t="s">
        <v>28</v>
      </c>
      <c r="O33" s="48" t="s">
        <v>28</v>
      </c>
      <c r="P33" s="48" t="s">
        <v>28</v>
      </c>
      <c r="Q33" s="48" t="s">
        <v>28</v>
      </c>
      <c r="R33" s="48" t="s">
        <v>28</v>
      </c>
      <c r="S33" s="48" t="s">
        <v>28</v>
      </c>
      <c r="T33" s="48" t="s">
        <v>28</v>
      </c>
      <c r="U33" s="48" t="s">
        <v>28</v>
      </c>
      <c r="V33" s="48" t="s">
        <v>28</v>
      </c>
      <c r="W33" s="48">
        <v>700</v>
      </c>
      <c r="X33" s="48">
        <v>300</v>
      </c>
      <c r="Y33" s="104">
        <f>F33</f>
        <v>0</v>
      </c>
      <c r="Z33" s="104">
        <f>(Y33/D33)*100</f>
        <v>0</v>
      </c>
    </row>
    <row r="34" spans="2:26" ht="14.5" customHeight="1" x14ac:dyDescent="0.2">
      <c r="B34" s="134"/>
      <c r="C34" s="136"/>
      <c r="D34" s="118"/>
      <c r="E34" s="131"/>
      <c r="F34" s="99"/>
      <c r="G34" s="99"/>
      <c r="H34" s="11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101"/>
      <c r="Z34" s="101"/>
    </row>
    <row r="35" spans="2:26" ht="14.5" customHeight="1" x14ac:dyDescent="0.2">
      <c r="B35" s="133" t="s">
        <v>42</v>
      </c>
      <c r="C35" s="135" t="s">
        <v>43</v>
      </c>
      <c r="D35" s="117">
        <v>500</v>
      </c>
      <c r="E35" s="130">
        <f>D35-F35</f>
        <v>500</v>
      </c>
      <c r="F35" s="98">
        <f>SUM(I36:X36)</f>
        <v>0</v>
      </c>
      <c r="G35" s="98"/>
      <c r="H35" s="109">
        <v>0</v>
      </c>
      <c r="I35" s="48" t="s">
        <v>28</v>
      </c>
      <c r="J35" s="19" t="s">
        <v>28</v>
      </c>
      <c r="K35" s="19" t="s">
        <v>28</v>
      </c>
      <c r="L35" s="19" t="s">
        <v>28</v>
      </c>
      <c r="M35" s="19" t="s">
        <v>28</v>
      </c>
      <c r="N35" s="19" t="s">
        <v>28</v>
      </c>
      <c r="O35" s="19" t="s">
        <v>28</v>
      </c>
      <c r="P35" s="19" t="s">
        <v>28</v>
      </c>
      <c r="Q35" s="19" t="s">
        <v>28</v>
      </c>
      <c r="R35" s="19" t="s">
        <v>28</v>
      </c>
      <c r="S35" s="19" t="s">
        <v>28</v>
      </c>
      <c r="T35" s="19" t="s">
        <v>28</v>
      </c>
      <c r="U35" s="19" t="s">
        <v>28</v>
      </c>
      <c r="V35" s="19" t="s">
        <v>28</v>
      </c>
      <c r="W35" s="19" t="s">
        <v>28</v>
      </c>
      <c r="X35" s="19">
        <v>200</v>
      </c>
      <c r="Y35" s="100">
        <f>F35</f>
        <v>0</v>
      </c>
      <c r="Z35" s="100">
        <f>(Y35/D35)*100</f>
        <v>0</v>
      </c>
    </row>
    <row r="36" spans="2:26" ht="14.5" customHeight="1" x14ac:dyDescent="0.2">
      <c r="B36" s="134"/>
      <c r="C36" s="136"/>
      <c r="D36" s="118"/>
      <c r="E36" s="131"/>
      <c r="F36" s="99"/>
      <c r="G36" s="99"/>
      <c r="H36" s="11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101"/>
      <c r="Z36" s="101"/>
    </row>
    <row r="37" spans="2:26" ht="14.5" customHeight="1" x14ac:dyDescent="0.2">
      <c r="B37" s="133" t="s">
        <v>44</v>
      </c>
      <c r="C37" s="135" t="s">
        <v>45</v>
      </c>
      <c r="D37" s="117">
        <v>500</v>
      </c>
      <c r="E37" s="130">
        <f>D37-F37</f>
        <v>500</v>
      </c>
      <c r="F37" s="98">
        <f>SUM(I38:X38)</f>
        <v>0</v>
      </c>
      <c r="G37" s="98"/>
      <c r="H37" s="109">
        <v>0</v>
      </c>
      <c r="I37" s="48" t="s">
        <v>28</v>
      </c>
      <c r="J37" s="19" t="s">
        <v>28</v>
      </c>
      <c r="K37" s="19" t="s">
        <v>28</v>
      </c>
      <c r="L37" s="19" t="s">
        <v>28</v>
      </c>
      <c r="M37" s="19" t="s">
        <v>28</v>
      </c>
      <c r="N37" s="19" t="s">
        <v>28</v>
      </c>
      <c r="O37" s="19" t="s">
        <v>28</v>
      </c>
      <c r="P37" s="19" t="s">
        <v>28</v>
      </c>
      <c r="Q37" s="19" t="s">
        <v>28</v>
      </c>
      <c r="R37" s="19" t="s">
        <v>28</v>
      </c>
      <c r="S37" s="19" t="s">
        <v>28</v>
      </c>
      <c r="T37" s="19" t="s">
        <v>28</v>
      </c>
      <c r="U37" s="19"/>
      <c r="V37" s="19" t="s">
        <v>28</v>
      </c>
      <c r="W37" s="19" t="s">
        <v>28</v>
      </c>
      <c r="X37" s="19" t="s">
        <v>28</v>
      </c>
      <c r="Y37" s="100">
        <f>F37</f>
        <v>0</v>
      </c>
      <c r="Z37" s="100">
        <f>(Y37/D37)*100</f>
        <v>0</v>
      </c>
    </row>
    <row r="38" spans="2:26" ht="14.5" customHeight="1" x14ac:dyDescent="0.2">
      <c r="B38" s="134"/>
      <c r="C38" s="136"/>
      <c r="D38" s="118"/>
      <c r="E38" s="131"/>
      <c r="F38" s="99"/>
      <c r="G38" s="99"/>
      <c r="H38" s="11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101"/>
      <c r="Z38" s="101"/>
    </row>
    <row r="39" spans="2:26" ht="14.5" customHeight="1" x14ac:dyDescent="0.2">
      <c r="B39" s="133" t="s">
        <v>46</v>
      </c>
      <c r="C39" s="135" t="s">
        <v>47</v>
      </c>
      <c r="D39" s="117">
        <v>500</v>
      </c>
      <c r="E39" s="130">
        <f>D39-F39</f>
        <v>244</v>
      </c>
      <c r="F39" s="98">
        <f>SUM(I40:X40)</f>
        <v>256</v>
      </c>
      <c r="G39" s="98"/>
      <c r="H39" s="109" t="s">
        <v>48</v>
      </c>
      <c r="I39" s="48" t="s">
        <v>28</v>
      </c>
      <c r="J39" s="19" t="s">
        <v>28</v>
      </c>
      <c r="K39" s="19" t="s">
        <v>28</v>
      </c>
      <c r="L39" s="19" t="s">
        <v>28</v>
      </c>
      <c r="M39" s="19" t="s">
        <v>28</v>
      </c>
      <c r="N39" s="19" t="s">
        <v>28</v>
      </c>
      <c r="O39" s="19" t="s">
        <v>28</v>
      </c>
      <c r="P39" s="19" t="s">
        <v>28</v>
      </c>
      <c r="Q39" s="19" t="s">
        <v>28</v>
      </c>
      <c r="R39" s="19" t="s">
        <v>28</v>
      </c>
      <c r="S39" s="19">
        <v>18</v>
      </c>
      <c r="T39" s="19" t="s">
        <v>28</v>
      </c>
      <c r="U39" s="19">
        <v>238</v>
      </c>
      <c r="V39" s="19" t="s">
        <v>28</v>
      </c>
      <c r="W39" s="19" t="s">
        <v>28</v>
      </c>
      <c r="X39" s="19" t="s">
        <v>28</v>
      </c>
      <c r="Y39" s="100">
        <f>F39</f>
        <v>256</v>
      </c>
      <c r="Z39" s="100">
        <f>(Y39/D39)*100</f>
        <v>51.2</v>
      </c>
    </row>
    <row r="40" spans="2:26" ht="14.5" customHeight="1" x14ac:dyDescent="0.2">
      <c r="B40" s="134"/>
      <c r="C40" s="136"/>
      <c r="D40" s="118"/>
      <c r="E40" s="131"/>
      <c r="F40" s="99"/>
      <c r="G40" s="99"/>
      <c r="H40" s="11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>
        <v>18</v>
      </c>
      <c r="T40" s="20"/>
      <c r="U40" s="20">
        <v>238</v>
      </c>
      <c r="V40" s="20"/>
      <c r="W40" s="20"/>
      <c r="X40" s="20"/>
      <c r="Y40" s="101"/>
      <c r="Z40" s="101"/>
    </row>
    <row r="41" spans="2:26" ht="14.5" customHeight="1" x14ac:dyDescent="0.2">
      <c r="B41" s="133" t="s">
        <v>49</v>
      </c>
      <c r="C41" s="135" t="s">
        <v>50</v>
      </c>
      <c r="D41" s="117">
        <v>580</v>
      </c>
      <c r="E41" s="130">
        <f>D41-F41</f>
        <v>580</v>
      </c>
      <c r="F41" s="98">
        <f>SUM(I42:X42)</f>
        <v>0</v>
      </c>
      <c r="G41" s="98"/>
      <c r="H41" s="109">
        <v>0</v>
      </c>
      <c r="I41" s="48" t="s">
        <v>28</v>
      </c>
      <c r="J41" s="19" t="s">
        <v>28</v>
      </c>
      <c r="K41" s="19" t="s">
        <v>28</v>
      </c>
      <c r="L41" s="19" t="s">
        <v>28</v>
      </c>
      <c r="M41" s="19" t="s">
        <v>28</v>
      </c>
      <c r="N41" s="19" t="s">
        <v>28</v>
      </c>
      <c r="O41" s="19" t="s">
        <v>28</v>
      </c>
      <c r="P41" s="19" t="s">
        <v>28</v>
      </c>
      <c r="Q41" s="19" t="s">
        <v>28</v>
      </c>
      <c r="R41" s="19" t="s">
        <v>28</v>
      </c>
      <c r="S41" s="19" t="s">
        <v>28</v>
      </c>
      <c r="T41" s="19" t="s">
        <v>28</v>
      </c>
      <c r="U41" s="19" t="s">
        <v>28</v>
      </c>
      <c r="V41" s="19" t="s">
        <v>28</v>
      </c>
      <c r="W41" s="19" t="s">
        <v>28</v>
      </c>
      <c r="X41" s="19" t="s">
        <v>28</v>
      </c>
      <c r="Y41" s="100">
        <f>F41</f>
        <v>0</v>
      </c>
      <c r="Z41" s="100">
        <f>(Y41/D41)*100</f>
        <v>0</v>
      </c>
    </row>
    <row r="42" spans="2:26" ht="14.5" customHeight="1" x14ac:dyDescent="0.2">
      <c r="B42" s="134"/>
      <c r="C42" s="136"/>
      <c r="D42" s="118"/>
      <c r="E42" s="131"/>
      <c r="F42" s="99"/>
      <c r="G42" s="99"/>
      <c r="H42" s="11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101"/>
      <c r="Z42" s="101"/>
    </row>
    <row r="43" spans="2:26" ht="14.5" customHeight="1" x14ac:dyDescent="0.2">
      <c r="B43" s="133" t="s">
        <v>51</v>
      </c>
      <c r="C43" s="135" t="s">
        <v>52</v>
      </c>
      <c r="D43" s="117">
        <v>200</v>
      </c>
      <c r="E43" s="130">
        <f>D43-F43</f>
        <v>200</v>
      </c>
      <c r="F43" s="98">
        <f>SUM(I44:X44)</f>
        <v>0</v>
      </c>
      <c r="G43" s="98"/>
      <c r="H43" s="109">
        <v>0</v>
      </c>
      <c r="I43" s="48" t="s">
        <v>28</v>
      </c>
      <c r="J43" s="19" t="s">
        <v>28</v>
      </c>
      <c r="K43" s="19" t="s">
        <v>28</v>
      </c>
      <c r="L43" s="19" t="s">
        <v>28</v>
      </c>
      <c r="M43" s="19" t="s">
        <v>28</v>
      </c>
      <c r="N43" s="19" t="s">
        <v>28</v>
      </c>
      <c r="O43" s="19" t="s">
        <v>28</v>
      </c>
      <c r="P43" s="19" t="s">
        <v>28</v>
      </c>
      <c r="Q43" s="19" t="s">
        <v>28</v>
      </c>
      <c r="R43" s="19" t="s">
        <v>28</v>
      </c>
      <c r="S43" s="19" t="s">
        <v>28</v>
      </c>
      <c r="T43" s="19"/>
      <c r="U43" s="19" t="s">
        <v>28</v>
      </c>
      <c r="V43" s="19" t="s">
        <v>28</v>
      </c>
      <c r="W43" s="19" t="s">
        <v>28</v>
      </c>
      <c r="X43" s="19" t="s">
        <v>28</v>
      </c>
      <c r="Y43" s="100">
        <f>F43</f>
        <v>0</v>
      </c>
      <c r="Z43" s="100">
        <f>(Y43/D43)*100</f>
        <v>0</v>
      </c>
    </row>
    <row r="44" spans="2:26" ht="14.5" customHeight="1" x14ac:dyDescent="0.2">
      <c r="B44" s="134"/>
      <c r="C44" s="136"/>
      <c r="D44" s="118"/>
      <c r="E44" s="131"/>
      <c r="F44" s="99"/>
      <c r="G44" s="99"/>
      <c r="H44" s="11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101"/>
      <c r="Z44" s="101"/>
    </row>
    <row r="45" spans="2:26" ht="14.5" customHeight="1" x14ac:dyDescent="0.2">
      <c r="B45" s="133" t="s">
        <v>53</v>
      </c>
      <c r="C45" s="135" t="s">
        <v>54</v>
      </c>
      <c r="D45" s="117">
        <v>3000</v>
      </c>
      <c r="E45" s="130">
        <f>D45-F45</f>
        <v>1804</v>
      </c>
      <c r="F45" s="98">
        <f>SUM(I46:X46)</f>
        <v>1196</v>
      </c>
      <c r="G45" s="98"/>
      <c r="H45" s="109">
        <v>0</v>
      </c>
      <c r="I45" s="48" t="s">
        <v>28</v>
      </c>
      <c r="J45" s="19" t="s">
        <v>28</v>
      </c>
      <c r="K45" s="19" t="s">
        <v>28</v>
      </c>
      <c r="L45" s="19" t="s">
        <v>28</v>
      </c>
      <c r="M45" s="19">
        <v>200</v>
      </c>
      <c r="N45" s="19">
        <v>900</v>
      </c>
      <c r="O45" s="19">
        <v>80</v>
      </c>
      <c r="P45" s="19" t="s">
        <v>28</v>
      </c>
      <c r="Q45" s="19" t="s">
        <v>28</v>
      </c>
      <c r="R45" s="19" t="s">
        <v>28</v>
      </c>
      <c r="S45" s="19" t="s">
        <v>28</v>
      </c>
      <c r="T45" s="19" t="s">
        <v>28</v>
      </c>
      <c r="U45" s="19" t="s">
        <v>28</v>
      </c>
      <c r="V45" s="19" t="s">
        <v>28</v>
      </c>
      <c r="W45" s="19" t="s">
        <v>28</v>
      </c>
      <c r="X45" s="19" t="s">
        <v>28</v>
      </c>
      <c r="Y45" s="100">
        <f>F45</f>
        <v>1196</v>
      </c>
      <c r="Z45" s="100">
        <f>(Y45/D45)*100</f>
        <v>39.866666666666667</v>
      </c>
    </row>
    <row r="46" spans="2:26" ht="14.5" customHeight="1" x14ac:dyDescent="0.2">
      <c r="B46" s="134"/>
      <c r="C46" s="136"/>
      <c r="D46" s="118"/>
      <c r="E46" s="131"/>
      <c r="F46" s="99"/>
      <c r="G46" s="99"/>
      <c r="H46" s="110"/>
      <c r="I46" s="20"/>
      <c r="J46" s="20"/>
      <c r="K46" s="20"/>
      <c r="L46" s="20"/>
      <c r="M46" s="20">
        <v>221</v>
      </c>
      <c r="N46" s="20">
        <v>904</v>
      </c>
      <c r="O46" s="20">
        <v>71</v>
      </c>
      <c r="P46" s="20"/>
      <c r="Q46" s="20"/>
      <c r="R46" s="20"/>
      <c r="S46" s="20"/>
      <c r="T46" s="20"/>
      <c r="U46" s="20"/>
      <c r="V46" s="20"/>
      <c r="W46" s="20"/>
      <c r="X46" s="20"/>
      <c r="Y46" s="101"/>
      <c r="Z46" s="101"/>
    </row>
    <row r="47" spans="2:26" ht="14.5" customHeight="1" x14ac:dyDescent="0.2">
      <c r="B47" s="133" t="s">
        <v>55</v>
      </c>
      <c r="C47" s="135" t="s">
        <v>56</v>
      </c>
      <c r="D47" s="117">
        <v>1000</v>
      </c>
      <c r="E47" s="130">
        <f t="shared" ref="E47" si="4">D47-F47</f>
        <v>401</v>
      </c>
      <c r="F47" s="98">
        <f t="shared" ref="F47" si="5">SUM(I48:X48)</f>
        <v>599</v>
      </c>
      <c r="G47" s="98"/>
      <c r="H47" s="109">
        <v>0</v>
      </c>
      <c r="I47" s="48">
        <v>400</v>
      </c>
      <c r="J47" s="19" t="s">
        <v>28</v>
      </c>
      <c r="K47" s="19" t="s">
        <v>28</v>
      </c>
      <c r="L47" s="19" t="s">
        <v>28</v>
      </c>
      <c r="M47" s="19">
        <v>200</v>
      </c>
      <c r="N47" s="19" t="s">
        <v>28</v>
      </c>
      <c r="O47" s="19" t="s">
        <v>28</v>
      </c>
      <c r="P47" s="19" t="s">
        <v>28</v>
      </c>
      <c r="Q47" s="19" t="s">
        <v>28</v>
      </c>
      <c r="R47" s="19" t="s">
        <v>28</v>
      </c>
      <c r="S47" s="19" t="s">
        <v>28</v>
      </c>
      <c r="T47" s="19" t="s">
        <v>28</v>
      </c>
      <c r="U47" s="19" t="s">
        <v>28</v>
      </c>
      <c r="V47" s="19" t="s">
        <v>28</v>
      </c>
      <c r="W47" s="19" t="s">
        <v>28</v>
      </c>
      <c r="X47" s="19" t="s">
        <v>28</v>
      </c>
      <c r="Y47" s="100">
        <f>F47</f>
        <v>599</v>
      </c>
      <c r="Z47" s="100">
        <f>(Y47/D47)*100</f>
        <v>59.9</v>
      </c>
    </row>
    <row r="48" spans="2:26" ht="14.5" customHeight="1" x14ac:dyDescent="0.2">
      <c r="B48" s="134"/>
      <c r="C48" s="136"/>
      <c r="D48" s="118"/>
      <c r="E48" s="131"/>
      <c r="F48" s="99"/>
      <c r="G48" s="99"/>
      <c r="H48" s="110"/>
      <c r="I48" s="20">
        <v>403</v>
      </c>
      <c r="J48" s="20"/>
      <c r="K48" s="20"/>
      <c r="L48" s="20"/>
      <c r="M48" s="20">
        <v>196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101"/>
      <c r="Z48" s="101"/>
    </row>
    <row r="49" spans="2:26" ht="14.5" customHeight="1" x14ac:dyDescent="0.2">
      <c r="B49" s="133" t="s">
        <v>57</v>
      </c>
      <c r="C49" s="135" t="s">
        <v>58</v>
      </c>
      <c r="D49" s="117">
        <v>280</v>
      </c>
      <c r="E49" s="130">
        <f t="shared" ref="E49" si="6">D49-F49</f>
        <v>280</v>
      </c>
      <c r="F49" s="98">
        <f t="shared" ref="F49" si="7">SUM(I50:X50)</f>
        <v>0</v>
      </c>
      <c r="G49" s="98"/>
      <c r="H49" s="109" t="s">
        <v>59</v>
      </c>
      <c r="I49" s="48" t="s">
        <v>28</v>
      </c>
      <c r="J49" s="19" t="s">
        <v>28</v>
      </c>
      <c r="K49" s="19" t="s">
        <v>28</v>
      </c>
      <c r="L49" s="19" t="s">
        <v>28</v>
      </c>
      <c r="M49" s="19" t="s">
        <v>28</v>
      </c>
      <c r="N49" s="19" t="s">
        <v>28</v>
      </c>
      <c r="O49" s="19" t="s">
        <v>28</v>
      </c>
      <c r="P49" s="19" t="s">
        <v>28</v>
      </c>
      <c r="Q49" s="19" t="s">
        <v>28</v>
      </c>
      <c r="R49" s="19" t="s">
        <v>28</v>
      </c>
      <c r="S49" s="19" t="s">
        <v>28</v>
      </c>
      <c r="T49" s="19" t="s">
        <v>28</v>
      </c>
      <c r="U49" s="19" t="s">
        <v>28</v>
      </c>
      <c r="V49" s="19" t="s">
        <v>28</v>
      </c>
      <c r="W49" s="19" t="s">
        <v>28</v>
      </c>
      <c r="X49" s="19" t="s">
        <v>28</v>
      </c>
      <c r="Y49" s="100">
        <f>F49</f>
        <v>0</v>
      </c>
      <c r="Z49" s="100">
        <f>(Y49/D49)*100</f>
        <v>0</v>
      </c>
    </row>
    <row r="50" spans="2:26" ht="14.5" customHeight="1" x14ac:dyDescent="0.2">
      <c r="B50" s="134"/>
      <c r="C50" s="136"/>
      <c r="D50" s="118"/>
      <c r="E50" s="131"/>
      <c r="F50" s="99"/>
      <c r="G50" s="99"/>
      <c r="H50" s="11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101"/>
      <c r="Z50" s="101"/>
    </row>
    <row r="51" spans="2:26" ht="14.5" customHeight="1" x14ac:dyDescent="0.2">
      <c r="B51" s="133" t="s">
        <v>60</v>
      </c>
      <c r="C51" s="135" t="s">
        <v>61</v>
      </c>
      <c r="D51" s="117">
        <v>300</v>
      </c>
      <c r="E51" s="130">
        <f t="shared" ref="E51" si="8">D51-F51</f>
        <v>-4</v>
      </c>
      <c r="F51" s="98">
        <f t="shared" ref="F51" si="9">SUM(I52:X52)</f>
        <v>304</v>
      </c>
      <c r="G51" s="98"/>
      <c r="H51" s="109">
        <v>0</v>
      </c>
      <c r="I51" s="48" t="s">
        <v>28</v>
      </c>
      <c r="J51" s="19" t="s">
        <v>28</v>
      </c>
      <c r="K51" s="19" t="s">
        <v>28</v>
      </c>
      <c r="L51" s="19" t="s">
        <v>28</v>
      </c>
      <c r="M51" s="19" t="s">
        <v>28</v>
      </c>
      <c r="N51" s="19" t="s">
        <v>28</v>
      </c>
      <c r="O51" s="19">
        <v>300</v>
      </c>
      <c r="P51" s="19" t="s">
        <v>28</v>
      </c>
      <c r="Q51" s="19" t="s">
        <v>28</v>
      </c>
      <c r="R51" s="19" t="s">
        <v>28</v>
      </c>
      <c r="S51" s="19" t="s">
        <v>28</v>
      </c>
      <c r="T51" s="19" t="s">
        <v>28</v>
      </c>
      <c r="U51" s="19" t="s">
        <v>28</v>
      </c>
      <c r="V51" s="19" t="s">
        <v>28</v>
      </c>
      <c r="W51" s="19" t="s">
        <v>28</v>
      </c>
      <c r="X51" s="19" t="s">
        <v>28</v>
      </c>
      <c r="Y51" s="100">
        <f>F51</f>
        <v>304</v>
      </c>
      <c r="Z51" s="100">
        <f>(Y51/D51)*100</f>
        <v>101.33333333333334</v>
      </c>
    </row>
    <row r="52" spans="2:26" ht="14.5" customHeight="1" x14ac:dyDescent="0.2">
      <c r="B52" s="134"/>
      <c r="C52" s="136"/>
      <c r="D52" s="118"/>
      <c r="E52" s="131"/>
      <c r="F52" s="99"/>
      <c r="G52" s="99"/>
      <c r="H52" s="110"/>
      <c r="I52" s="20"/>
      <c r="J52" s="20"/>
      <c r="K52" s="20"/>
      <c r="L52" s="20"/>
      <c r="M52" s="20"/>
      <c r="N52" s="20"/>
      <c r="O52" s="20">
        <v>304</v>
      </c>
      <c r="P52" s="20"/>
      <c r="Q52" s="20"/>
      <c r="R52" s="20"/>
      <c r="S52" s="20"/>
      <c r="T52" s="20"/>
      <c r="U52" s="20"/>
      <c r="V52" s="20"/>
      <c r="W52" s="20"/>
      <c r="X52" s="20"/>
      <c r="Y52" s="101"/>
      <c r="Z52" s="101"/>
    </row>
    <row r="53" spans="2:26" ht="14.5" customHeight="1" x14ac:dyDescent="0.2">
      <c r="B53" s="133" t="s">
        <v>62</v>
      </c>
      <c r="C53" s="135" t="s">
        <v>63</v>
      </c>
      <c r="D53" s="117">
        <v>200</v>
      </c>
      <c r="E53" s="130">
        <f t="shared" ref="E53" si="10">D53-F53</f>
        <v>200</v>
      </c>
      <c r="F53" s="98">
        <f t="shared" ref="F53" si="11">SUM(I54:X54)</f>
        <v>0</v>
      </c>
      <c r="G53" s="98"/>
      <c r="H53" s="109">
        <v>0</v>
      </c>
      <c r="I53" s="48" t="s">
        <v>28</v>
      </c>
      <c r="J53" s="19" t="s">
        <v>28</v>
      </c>
      <c r="K53" s="19" t="s">
        <v>28</v>
      </c>
      <c r="L53" s="19" t="s">
        <v>28</v>
      </c>
      <c r="M53" s="19" t="s">
        <v>28</v>
      </c>
      <c r="N53" s="19" t="s">
        <v>28</v>
      </c>
      <c r="O53" s="19" t="s">
        <v>28</v>
      </c>
      <c r="P53" s="19" t="s">
        <v>28</v>
      </c>
      <c r="Q53" s="19" t="s">
        <v>28</v>
      </c>
      <c r="R53" s="19" t="s">
        <v>28</v>
      </c>
      <c r="S53" s="19" t="s">
        <v>28</v>
      </c>
      <c r="T53" s="19" t="s">
        <v>28</v>
      </c>
      <c r="U53" s="19" t="s">
        <v>28</v>
      </c>
      <c r="V53" s="19" t="s">
        <v>28</v>
      </c>
      <c r="W53" s="19" t="s">
        <v>28</v>
      </c>
      <c r="X53" s="19" t="s">
        <v>28</v>
      </c>
      <c r="Y53" s="100">
        <f>F53</f>
        <v>0</v>
      </c>
      <c r="Z53" s="100">
        <f>(Y53/D53)*100</f>
        <v>0</v>
      </c>
    </row>
    <row r="54" spans="2:26" ht="14.5" customHeight="1" x14ac:dyDescent="0.2">
      <c r="B54" s="134"/>
      <c r="C54" s="136"/>
      <c r="D54" s="118"/>
      <c r="E54" s="131"/>
      <c r="F54" s="99"/>
      <c r="G54" s="99"/>
      <c r="H54" s="11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101"/>
      <c r="Z54" s="101"/>
    </row>
    <row r="55" spans="2:26" ht="14.5" customHeight="1" x14ac:dyDescent="0.2">
      <c r="B55" s="133" t="s">
        <v>64</v>
      </c>
      <c r="C55" s="135" t="s">
        <v>65</v>
      </c>
      <c r="D55" s="117">
        <v>15</v>
      </c>
      <c r="E55" s="130">
        <f t="shared" ref="E55" si="12">D55-F55</f>
        <v>15</v>
      </c>
      <c r="F55" s="98">
        <f t="shared" ref="F55" si="13">SUM(I56:X56)</f>
        <v>0</v>
      </c>
      <c r="G55" s="98"/>
      <c r="H55" s="109">
        <v>0</v>
      </c>
      <c r="I55" s="48" t="s">
        <v>28</v>
      </c>
      <c r="J55" s="19" t="s">
        <v>28</v>
      </c>
      <c r="K55" s="19" t="s">
        <v>28</v>
      </c>
      <c r="L55" s="19" t="s">
        <v>28</v>
      </c>
      <c r="M55" s="19" t="s">
        <v>28</v>
      </c>
      <c r="N55" s="19" t="s">
        <v>28</v>
      </c>
      <c r="O55" s="19" t="s">
        <v>28</v>
      </c>
      <c r="P55" s="19" t="s">
        <v>28</v>
      </c>
      <c r="Q55" s="19" t="s">
        <v>28</v>
      </c>
      <c r="R55" s="19" t="s">
        <v>28</v>
      </c>
      <c r="S55" s="19" t="s">
        <v>28</v>
      </c>
      <c r="T55" s="19" t="s">
        <v>28</v>
      </c>
      <c r="U55" s="19" t="s">
        <v>28</v>
      </c>
      <c r="V55" s="19" t="s">
        <v>28</v>
      </c>
      <c r="W55" s="19" t="s">
        <v>28</v>
      </c>
      <c r="X55" s="19" t="s">
        <v>28</v>
      </c>
      <c r="Y55" s="100">
        <f>F55</f>
        <v>0</v>
      </c>
      <c r="Z55" s="100">
        <f>(Y55/D55)*100</f>
        <v>0</v>
      </c>
    </row>
    <row r="56" spans="2:26" ht="14.5" customHeight="1" x14ac:dyDescent="0.2">
      <c r="B56" s="134"/>
      <c r="C56" s="136"/>
      <c r="D56" s="118"/>
      <c r="E56" s="131"/>
      <c r="F56" s="99"/>
      <c r="G56" s="99"/>
      <c r="H56" s="11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101"/>
      <c r="Z56" s="101"/>
    </row>
    <row r="57" spans="2:26" ht="14.5" customHeight="1" x14ac:dyDescent="0.2">
      <c r="B57" s="133" t="s">
        <v>66</v>
      </c>
      <c r="C57" s="135" t="s">
        <v>67</v>
      </c>
      <c r="D57" s="117">
        <v>300</v>
      </c>
      <c r="E57" s="130">
        <f t="shared" ref="E57" si="14">D57-F57</f>
        <v>148</v>
      </c>
      <c r="F57" s="98">
        <f t="shared" ref="F57" si="15">SUM(I58:X58)</f>
        <v>152</v>
      </c>
      <c r="G57" s="98"/>
      <c r="H57" s="109">
        <v>0</v>
      </c>
      <c r="I57" s="48" t="s">
        <v>28</v>
      </c>
      <c r="J57" s="19" t="s">
        <v>28</v>
      </c>
      <c r="K57" s="19" t="s">
        <v>28</v>
      </c>
      <c r="L57" s="19" t="s">
        <v>28</v>
      </c>
      <c r="M57" s="19" t="s">
        <v>28</v>
      </c>
      <c r="N57" s="19" t="s">
        <v>28</v>
      </c>
      <c r="O57" s="19" t="s">
        <v>28</v>
      </c>
      <c r="P57" s="19" t="s">
        <v>28</v>
      </c>
      <c r="Q57" s="19" t="s">
        <v>28</v>
      </c>
      <c r="R57" s="19" t="s">
        <v>28</v>
      </c>
      <c r="S57" s="19" t="s">
        <v>28</v>
      </c>
      <c r="T57" s="19" t="s">
        <v>28</v>
      </c>
      <c r="U57" s="19">
        <v>152</v>
      </c>
      <c r="V57" s="19" t="s">
        <v>28</v>
      </c>
      <c r="W57" s="19" t="s">
        <v>28</v>
      </c>
      <c r="X57" s="19" t="s">
        <v>28</v>
      </c>
      <c r="Y57" s="100">
        <f>F57</f>
        <v>152</v>
      </c>
      <c r="Z57" s="100">
        <f>(Y57/D57)*100</f>
        <v>50.666666666666671</v>
      </c>
    </row>
    <row r="58" spans="2:26" ht="14.5" customHeight="1" x14ac:dyDescent="0.2">
      <c r="B58" s="134"/>
      <c r="C58" s="136"/>
      <c r="D58" s="118"/>
      <c r="E58" s="131"/>
      <c r="F58" s="99"/>
      <c r="G58" s="99"/>
      <c r="H58" s="11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>
        <v>152</v>
      </c>
      <c r="V58" s="20"/>
      <c r="W58" s="20"/>
      <c r="X58" s="20"/>
      <c r="Y58" s="101"/>
      <c r="Z58" s="101"/>
    </row>
    <row r="59" spans="2:26" ht="14.5" customHeight="1" x14ac:dyDescent="0.2">
      <c r="B59" s="133">
        <v>50008</v>
      </c>
      <c r="C59" s="135" t="s">
        <v>68</v>
      </c>
      <c r="D59" s="117">
        <v>60</v>
      </c>
      <c r="E59" s="130">
        <f t="shared" ref="E59" si="16">D59-F59</f>
        <v>1</v>
      </c>
      <c r="F59" s="98">
        <f t="shared" ref="F59" si="17">SUM(I60:X60)</f>
        <v>59</v>
      </c>
      <c r="G59" s="98"/>
      <c r="H59" s="109" t="s">
        <v>69</v>
      </c>
      <c r="I59" s="48" t="s">
        <v>28</v>
      </c>
      <c r="J59" s="19" t="s">
        <v>28</v>
      </c>
      <c r="K59" s="19" t="s">
        <v>28</v>
      </c>
      <c r="L59" s="19" t="s">
        <v>28</v>
      </c>
      <c r="M59" s="19" t="s">
        <v>28</v>
      </c>
      <c r="N59" s="19" t="s">
        <v>28</v>
      </c>
      <c r="O59" s="19"/>
      <c r="P59" s="19" t="s">
        <v>28</v>
      </c>
      <c r="Q59" s="19">
        <v>60</v>
      </c>
      <c r="R59" s="19" t="s">
        <v>28</v>
      </c>
      <c r="S59" s="19" t="s">
        <v>28</v>
      </c>
      <c r="T59" s="19" t="s">
        <v>28</v>
      </c>
      <c r="U59" s="19" t="s">
        <v>28</v>
      </c>
      <c r="V59" s="19" t="s">
        <v>28</v>
      </c>
      <c r="W59" s="19" t="s">
        <v>28</v>
      </c>
      <c r="X59" s="19" t="s">
        <v>28</v>
      </c>
      <c r="Y59" s="100">
        <f>F59</f>
        <v>59</v>
      </c>
      <c r="Z59" s="100">
        <f>(Y59/D59)*100</f>
        <v>98.333333333333329</v>
      </c>
    </row>
    <row r="60" spans="2:26" ht="14.5" customHeight="1" x14ac:dyDescent="0.2">
      <c r="B60" s="134"/>
      <c r="C60" s="136"/>
      <c r="D60" s="118"/>
      <c r="E60" s="131"/>
      <c r="F60" s="99"/>
      <c r="G60" s="99"/>
      <c r="H60" s="110"/>
      <c r="I60" s="20"/>
      <c r="J60" s="20"/>
      <c r="K60" s="20"/>
      <c r="L60" s="20"/>
      <c r="M60" s="20"/>
      <c r="N60" s="20"/>
      <c r="O60" s="20"/>
      <c r="P60" s="20"/>
      <c r="Q60" s="20">
        <v>59</v>
      </c>
      <c r="R60" s="20"/>
      <c r="S60" s="20"/>
      <c r="T60" s="20"/>
      <c r="U60" s="20"/>
      <c r="V60" s="20"/>
      <c r="W60" s="20"/>
      <c r="X60" s="20"/>
      <c r="Y60" s="101"/>
      <c r="Z60" s="101"/>
    </row>
    <row r="61" spans="2:26" ht="14.5" customHeight="1" x14ac:dyDescent="0.2">
      <c r="B61" s="133" t="s">
        <v>70</v>
      </c>
      <c r="C61" s="135" t="s">
        <v>71</v>
      </c>
      <c r="D61" s="117">
        <v>430</v>
      </c>
      <c r="E61" s="130">
        <f t="shared" ref="E61" si="18">D61-F61</f>
        <v>18</v>
      </c>
      <c r="F61" s="98">
        <f t="shared" ref="F61" si="19">SUM(I62:X62)</f>
        <v>412</v>
      </c>
      <c r="G61" s="98"/>
      <c r="H61" s="109" t="s">
        <v>72</v>
      </c>
      <c r="I61" s="48" t="s">
        <v>28</v>
      </c>
      <c r="J61" s="19" t="s">
        <v>28</v>
      </c>
      <c r="K61" s="19" t="s">
        <v>28</v>
      </c>
      <c r="L61" s="19" t="s">
        <v>28</v>
      </c>
      <c r="M61" s="19" t="s">
        <v>28</v>
      </c>
      <c r="N61" s="19" t="s">
        <v>28</v>
      </c>
      <c r="O61" s="19" t="s">
        <v>28</v>
      </c>
      <c r="P61" s="19" t="s">
        <v>28</v>
      </c>
      <c r="Q61" s="19">
        <v>430</v>
      </c>
      <c r="R61" s="19" t="s">
        <v>28</v>
      </c>
      <c r="S61" s="19" t="s">
        <v>28</v>
      </c>
      <c r="T61" s="19" t="s">
        <v>28</v>
      </c>
      <c r="U61" s="19" t="s">
        <v>28</v>
      </c>
      <c r="V61" s="19" t="s">
        <v>28</v>
      </c>
      <c r="W61" s="19" t="s">
        <v>28</v>
      </c>
      <c r="X61" s="19" t="s">
        <v>28</v>
      </c>
      <c r="Y61" s="100">
        <f>F61</f>
        <v>412</v>
      </c>
      <c r="Z61" s="100">
        <f>(Y61/D61)*100</f>
        <v>95.813953488372093</v>
      </c>
    </row>
    <row r="62" spans="2:26" ht="14.5" customHeight="1" x14ac:dyDescent="0.2">
      <c r="B62" s="134"/>
      <c r="C62" s="136"/>
      <c r="D62" s="118"/>
      <c r="E62" s="131"/>
      <c r="F62" s="99"/>
      <c r="G62" s="99"/>
      <c r="H62" s="110"/>
      <c r="I62" s="20"/>
      <c r="J62" s="20"/>
      <c r="K62" s="20"/>
      <c r="L62" s="20"/>
      <c r="M62" s="20"/>
      <c r="N62" s="20"/>
      <c r="O62" s="20"/>
      <c r="P62" s="20"/>
      <c r="Q62" s="20">
        <v>124</v>
      </c>
      <c r="R62" s="20">
        <v>288</v>
      </c>
      <c r="S62" s="20"/>
      <c r="T62" s="20"/>
      <c r="U62" s="20"/>
      <c r="V62" s="20"/>
      <c r="W62" s="20"/>
      <c r="X62" s="20"/>
      <c r="Y62" s="101"/>
      <c r="Z62" s="101"/>
    </row>
    <row r="63" spans="2:26" ht="14.5" customHeight="1" x14ac:dyDescent="0.2">
      <c r="B63" s="133" t="s">
        <v>73</v>
      </c>
      <c r="C63" s="135" t="s">
        <v>74</v>
      </c>
      <c r="D63" s="117">
        <v>200</v>
      </c>
      <c r="E63" s="130">
        <f t="shared" ref="E63" si="20">D63-F63</f>
        <v>5</v>
      </c>
      <c r="F63" s="98">
        <f t="shared" ref="F63" si="21">SUM(I64:X64)</f>
        <v>195</v>
      </c>
      <c r="G63" s="98"/>
      <c r="H63" s="109">
        <v>0</v>
      </c>
      <c r="I63" s="48" t="s">
        <v>28</v>
      </c>
      <c r="J63" s="19" t="s">
        <v>28</v>
      </c>
      <c r="K63" s="19" t="s">
        <v>28</v>
      </c>
      <c r="L63" s="19" t="s">
        <v>28</v>
      </c>
      <c r="M63" s="19" t="s">
        <v>28</v>
      </c>
      <c r="N63" s="19" t="s">
        <v>28</v>
      </c>
      <c r="O63" s="19" t="s">
        <v>28</v>
      </c>
      <c r="P63" s="19" t="s">
        <v>28</v>
      </c>
      <c r="Q63" s="19"/>
      <c r="R63" s="19" t="s">
        <v>28</v>
      </c>
      <c r="S63" s="19">
        <v>200</v>
      </c>
      <c r="T63" s="19" t="s">
        <v>28</v>
      </c>
      <c r="U63" s="19" t="s">
        <v>28</v>
      </c>
      <c r="V63" s="19" t="s">
        <v>28</v>
      </c>
      <c r="W63" s="19" t="s">
        <v>28</v>
      </c>
      <c r="X63" s="19" t="s">
        <v>28</v>
      </c>
      <c r="Y63" s="100">
        <f>F63</f>
        <v>195</v>
      </c>
      <c r="Z63" s="100">
        <f>(Y63/D63)*100</f>
        <v>97.5</v>
      </c>
    </row>
    <row r="64" spans="2:26" ht="14.5" customHeight="1" x14ac:dyDescent="0.2">
      <c r="B64" s="134"/>
      <c r="C64" s="136"/>
      <c r="D64" s="118"/>
      <c r="E64" s="131"/>
      <c r="F64" s="99"/>
      <c r="G64" s="99"/>
      <c r="H64" s="11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>
        <v>195</v>
      </c>
      <c r="T64" s="20"/>
      <c r="U64" s="20"/>
      <c r="V64" s="20"/>
      <c r="W64" s="20"/>
      <c r="X64" s="20"/>
      <c r="Y64" s="101"/>
      <c r="Z64" s="101"/>
    </row>
    <row r="65" spans="2:26" ht="14.5" customHeight="1" x14ac:dyDescent="0.2">
      <c r="B65" s="133">
        <v>51385</v>
      </c>
      <c r="C65" s="135" t="s">
        <v>75</v>
      </c>
      <c r="D65" s="117">
        <v>9</v>
      </c>
      <c r="E65" s="130">
        <f t="shared" ref="E65" si="22">D65-F65</f>
        <v>0</v>
      </c>
      <c r="F65" s="98">
        <f t="shared" ref="F65" si="23">SUM(I66:X66)</f>
        <v>9</v>
      </c>
      <c r="G65" s="98"/>
      <c r="H65" s="109">
        <v>0</v>
      </c>
      <c r="I65" s="48" t="s">
        <v>28</v>
      </c>
      <c r="J65" s="19" t="s">
        <v>28</v>
      </c>
      <c r="K65" s="19" t="s">
        <v>28</v>
      </c>
      <c r="L65" s="19" t="s">
        <v>28</v>
      </c>
      <c r="M65" s="19" t="s">
        <v>28</v>
      </c>
      <c r="N65" s="19" t="s">
        <v>28</v>
      </c>
      <c r="O65" s="19" t="s">
        <v>28</v>
      </c>
      <c r="P65" s="19" t="s">
        <v>28</v>
      </c>
      <c r="Q65" s="19"/>
      <c r="R65" s="19" t="s">
        <v>28</v>
      </c>
      <c r="S65" s="19"/>
      <c r="T65" s="19" t="s">
        <v>28</v>
      </c>
      <c r="U65" s="19" t="s">
        <v>28</v>
      </c>
      <c r="V65" s="19" t="s">
        <v>28</v>
      </c>
      <c r="W65" s="19" t="s">
        <v>28</v>
      </c>
      <c r="X65" s="19" t="s">
        <v>28</v>
      </c>
      <c r="Y65" s="100">
        <f>F65</f>
        <v>9</v>
      </c>
      <c r="Z65" s="100">
        <f>(Y65/D65)*100</f>
        <v>100</v>
      </c>
    </row>
    <row r="66" spans="2:26" ht="14.5" customHeight="1" x14ac:dyDescent="0.2">
      <c r="B66" s="134"/>
      <c r="C66" s="136"/>
      <c r="D66" s="118"/>
      <c r="E66" s="131"/>
      <c r="F66" s="99"/>
      <c r="G66" s="99"/>
      <c r="H66" s="110"/>
      <c r="I66" s="20"/>
      <c r="J66" s="20"/>
      <c r="K66" s="20"/>
      <c r="L66" s="20"/>
      <c r="M66" s="20"/>
      <c r="N66" s="20"/>
      <c r="O66" s="20"/>
      <c r="P66" s="20"/>
      <c r="Q66" s="20">
        <v>9</v>
      </c>
      <c r="R66" s="20"/>
      <c r="S66" s="95"/>
      <c r="T66" s="20"/>
      <c r="U66" s="20"/>
      <c r="V66" s="20"/>
      <c r="W66" s="20"/>
      <c r="X66" s="20"/>
      <c r="Y66" s="101"/>
      <c r="Z66" s="101"/>
    </row>
    <row r="67" spans="2:26" ht="14.5" customHeight="1" x14ac:dyDescent="0.2">
      <c r="B67" s="133" t="s">
        <v>76</v>
      </c>
      <c r="C67" s="135" t="s">
        <v>77</v>
      </c>
      <c r="D67" s="117">
        <v>10</v>
      </c>
      <c r="E67" s="130">
        <f t="shared" ref="E67" si="24">D67-F67</f>
        <v>0</v>
      </c>
      <c r="F67" s="98">
        <f t="shared" ref="F67" si="25">SUM(I68:X68)</f>
        <v>10</v>
      </c>
      <c r="G67" s="98"/>
      <c r="H67" s="109" t="s">
        <v>28</v>
      </c>
      <c r="I67" s="48" t="s">
        <v>28</v>
      </c>
      <c r="J67" s="19" t="s">
        <v>28</v>
      </c>
      <c r="K67" s="19" t="s">
        <v>28</v>
      </c>
      <c r="L67" s="19" t="s">
        <v>28</v>
      </c>
      <c r="M67" s="19" t="s">
        <v>28</v>
      </c>
      <c r="N67" s="19" t="s">
        <v>28</v>
      </c>
      <c r="O67" s="19" t="s">
        <v>28</v>
      </c>
      <c r="P67" s="19" t="s">
        <v>28</v>
      </c>
      <c r="Q67" s="19" t="s">
        <v>28</v>
      </c>
      <c r="R67" s="19" t="s">
        <v>28</v>
      </c>
      <c r="S67" s="19">
        <v>10</v>
      </c>
      <c r="T67" s="19" t="s">
        <v>28</v>
      </c>
      <c r="U67" s="19" t="s">
        <v>28</v>
      </c>
      <c r="V67" s="19" t="s">
        <v>28</v>
      </c>
      <c r="W67" s="19" t="s">
        <v>28</v>
      </c>
      <c r="X67" s="19" t="s">
        <v>28</v>
      </c>
      <c r="Y67" s="100">
        <f>F67</f>
        <v>10</v>
      </c>
      <c r="Z67" s="100">
        <f>(Y67/D67)*100</f>
        <v>100</v>
      </c>
    </row>
    <row r="68" spans="2:26" ht="14.5" customHeight="1" x14ac:dyDescent="0.2">
      <c r="B68" s="134"/>
      <c r="C68" s="136"/>
      <c r="D68" s="118"/>
      <c r="E68" s="131"/>
      <c r="F68" s="99"/>
      <c r="G68" s="99"/>
      <c r="H68" s="11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>
        <v>10</v>
      </c>
      <c r="T68" s="20"/>
      <c r="U68" s="20"/>
      <c r="V68" s="20"/>
      <c r="W68" s="20"/>
      <c r="X68" s="20"/>
      <c r="Y68" s="101"/>
      <c r="Z68" s="101"/>
    </row>
    <row r="69" spans="2:26" ht="14.5" customHeight="1" x14ac:dyDescent="0.2">
      <c r="B69" s="133" t="s">
        <v>78</v>
      </c>
      <c r="C69" s="135" t="s">
        <v>79</v>
      </c>
      <c r="D69" s="117">
        <v>9</v>
      </c>
      <c r="E69" s="130">
        <v>9</v>
      </c>
      <c r="F69" s="98">
        <f t="shared" ref="F69" si="26">SUM(I70:X70)</f>
        <v>9</v>
      </c>
      <c r="G69" s="98"/>
      <c r="H69" s="109" t="s">
        <v>80</v>
      </c>
      <c r="I69" s="48" t="s">
        <v>28</v>
      </c>
      <c r="J69" s="19" t="s">
        <v>28</v>
      </c>
      <c r="K69" s="19" t="s">
        <v>28</v>
      </c>
      <c r="L69" s="19" t="s">
        <v>28</v>
      </c>
      <c r="M69" s="19" t="s">
        <v>28</v>
      </c>
      <c r="N69" s="19" t="s">
        <v>28</v>
      </c>
      <c r="O69" s="19">
        <v>9</v>
      </c>
      <c r="P69" s="19" t="s">
        <v>28</v>
      </c>
      <c r="Q69" s="19" t="s">
        <v>28</v>
      </c>
      <c r="R69" s="19" t="s">
        <v>28</v>
      </c>
      <c r="S69" s="19" t="s">
        <v>28</v>
      </c>
      <c r="T69" s="19" t="s">
        <v>28</v>
      </c>
      <c r="U69" s="19" t="s">
        <v>28</v>
      </c>
      <c r="V69" s="19" t="s">
        <v>28</v>
      </c>
      <c r="W69" s="19" t="s">
        <v>28</v>
      </c>
      <c r="X69" s="19" t="s">
        <v>28</v>
      </c>
      <c r="Y69" s="100">
        <f>F69</f>
        <v>9</v>
      </c>
      <c r="Z69" s="100">
        <f>(Y69/D69)*100</f>
        <v>100</v>
      </c>
    </row>
    <row r="70" spans="2:26" ht="14.5" customHeight="1" x14ac:dyDescent="0.2">
      <c r="B70" s="134"/>
      <c r="C70" s="136"/>
      <c r="D70" s="118"/>
      <c r="E70" s="131"/>
      <c r="F70" s="99"/>
      <c r="G70" s="99"/>
      <c r="H70" s="110"/>
      <c r="I70" s="20"/>
      <c r="J70" s="20"/>
      <c r="K70" s="20"/>
      <c r="L70" s="20"/>
      <c r="M70" s="20"/>
      <c r="N70" s="20"/>
      <c r="O70" s="20">
        <v>9</v>
      </c>
      <c r="P70" s="20"/>
      <c r="Q70" s="20"/>
      <c r="R70" s="20"/>
      <c r="S70" s="20"/>
      <c r="T70" s="20"/>
      <c r="U70" s="20"/>
      <c r="V70" s="20"/>
      <c r="W70" s="20"/>
      <c r="X70" s="20"/>
      <c r="Y70" s="101"/>
      <c r="Z70" s="101"/>
    </row>
    <row r="71" spans="2:26" ht="5.5" customHeight="1" x14ac:dyDescent="0.2">
      <c r="B71" s="52"/>
      <c r="C71" s="56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07"/>
    </row>
    <row r="72" spans="2:26" ht="14.5" customHeight="1" x14ac:dyDescent="0.2">
      <c r="B72" s="68" t="s">
        <v>81</v>
      </c>
      <c r="C72" s="57"/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08"/>
    </row>
    <row r="73" spans="2:26" ht="14.25" customHeight="1" x14ac:dyDescent="0.2">
      <c r="B73" s="140" t="s">
        <v>82</v>
      </c>
      <c r="C73" s="151" t="s">
        <v>83</v>
      </c>
      <c r="D73" s="141">
        <v>7000</v>
      </c>
      <c r="E73" s="130">
        <f>D73-F73</f>
        <v>3000</v>
      </c>
      <c r="F73" s="98">
        <f>SUM(I74:X74)</f>
        <v>4000</v>
      </c>
      <c r="G73" s="98"/>
      <c r="H73" s="109">
        <v>0</v>
      </c>
      <c r="I73" s="19">
        <v>4000</v>
      </c>
      <c r="J73" s="19" t="s">
        <v>28</v>
      </c>
      <c r="K73" s="19" t="s">
        <v>28</v>
      </c>
      <c r="L73" s="19" t="s">
        <v>28</v>
      </c>
      <c r="M73" s="19" t="s">
        <v>28</v>
      </c>
      <c r="N73" s="19" t="s">
        <v>28</v>
      </c>
      <c r="O73" s="19"/>
      <c r="P73" s="19" t="s">
        <v>28</v>
      </c>
      <c r="Q73" s="19" t="s">
        <v>28</v>
      </c>
      <c r="R73" s="19" t="s">
        <v>28</v>
      </c>
      <c r="S73" s="19" t="s">
        <v>28</v>
      </c>
      <c r="T73" s="19" t="s">
        <v>28</v>
      </c>
      <c r="U73" s="19" t="s">
        <v>28</v>
      </c>
      <c r="V73" s="19" t="s">
        <v>28</v>
      </c>
      <c r="W73" s="19" t="s">
        <v>28</v>
      </c>
      <c r="X73" s="19" t="s">
        <v>28</v>
      </c>
      <c r="Y73" s="119">
        <f>F73</f>
        <v>4000</v>
      </c>
      <c r="Z73" s="119">
        <f>(Y73/D73)*100</f>
        <v>57.142857142857139</v>
      </c>
    </row>
    <row r="74" spans="2:26" ht="14.25" customHeight="1" x14ac:dyDescent="0.2">
      <c r="B74" s="140"/>
      <c r="C74" s="151"/>
      <c r="D74" s="141"/>
      <c r="E74" s="131"/>
      <c r="F74" s="99"/>
      <c r="G74" s="99"/>
      <c r="H74" s="110"/>
      <c r="I74" s="20">
        <v>4000</v>
      </c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119"/>
      <c r="Z74" s="119"/>
    </row>
    <row r="75" spans="2:26" ht="14.25" customHeight="1" x14ac:dyDescent="0.2">
      <c r="B75" s="140" t="s">
        <v>84</v>
      </c>
      <c r="C75" s="151" t="s">
        <v>85</v>
      </c>
      <c r="D75" s="141">
        <v>14000</v>
      </c>
      <c r="E75" s="130">
        <f t="shared" ref="E75" si="27">D75-F75</f>
        <v>0</v>
      </c>
      <c r="F75" s="98">
        <f t="shared" ref="F75" si="28">SUM(I76:X76)</f>
        <v>14000</v>
      </c>
      <c r="G75" s="98"/>
      <c r="H75" s="109">
        <v>0</v>
      </c>
      <c r="I75" s="19" t="s">
        <v>28</v>
      </c>
      <c r="J75" s="19"/>
      <c r="K75" s="19" t="s">
        <v>28</v>
      </c>
      <c r="L75" s="19" t="s">
        <v>28</v>
      </c>
      <c r="M75" s="19">
        <v>8200</v>
      </c>
      <c r="N75" s="19"/>
      <c r="O75" s="19" t="s">
        <v>28</v>
      </c>
      <c r="P75" s="19" t="s">
        <v>28</v>
      </c>
      <c r="Q75" s="19" t="s">
        <v>28</v>
      </c>
      <c r="R75" s="19" t="s">
        <v>28</v>
      </c>
      <c r="S75" s="19"/>
      <c r="T75" s="19" t="s">
        <v>28</v>
      </c>
      <c r="U75" s="19">
        <v>5800</v>
      </c>
      <c r="V75" s="19" t="s">
        <v>28</v>
      </c>
      <c r="W75" s="19" t="s">
        <v>28</v>
      </c>
      <c r="X75" s="19" t="s">
        <v>28</v>
      </c>
      <c r="Y75" s="119">
        <f>F75</f>
        <v>14000</v>
      </c>
      <c r="Z75" s="119">
        <f>(Y75/D75)*100</f>
        <v>100</v>
      </c>
    </row>
    <row r="76" spans="2:26" ht="14.25" customHeight="1" x14ac:dyDescent="0.2">
      <c r="B76" s="140"/>
      <c r="C76" s="151"/>
      <c r="D76" s="141"/>
      <c r="E76" s="131"/>
      <c r="F76" s="99"/>
      <c r="G76" s="99"/>
      <c r="H76" s="110"/>
      <c r="I76" s="20"/>
      <c r="J76" s="20"/>
      <c r="K76" s="20"/>
      <c r="L76" s="20"/>
      <c r="M76" s="20">
        <v>8200</v>
      </c>
      <c r="N76" s="20"/>
      <c r="O76" s="20"/>
      <c r="P76" s="20"/>
      <c r="Q76" s="20"/>
      <c r="R76" s="20"/>
      <c r="S76" s="20"/>
      <c r="T76" s="20"/>
      <c r="U76" s="20">
        <v>5800</v>
      </c>
      <c r="V76" s="20"/>
      <c r="W76" s="20"/>
      <c r="X76" s="20"/>
      <c r="Y76" s="119"/>
      <c r="Z76" s="119"/>
    </row>
    <row r="77" spans="2:26" ht="14.25" customHeight="1" x14ac:dyDescent="0.2">
      <c r="B77" s="134" t="s">
        <v>86</v>
      </c>
      <c r="C77" s="137" t="s">
        <v>87</v>
      </c>
      <c r="D77" s="138">
        <v>4000</v>
      </c>
      <c r="E77" s="139">
        <f>D77-F77</f>
        <v>0</v>
      </c>
      <c r="F77" s="124">
        <f>SUM(I78:X78)</f>
        <v>4000</v>
      </c>
      <c r="G77" s="98"/>
      <c r="H77" s="132">
        <v>0</v>
      </c>
      <c r="I77" s="48">
        <v>4000</v>
      </c>
      <c r="J77" s="48" t="s">
        <v>28</v>
      </c>
      <c r="K77" s="48" t="s">
        <v>28</v>
      </c>
      <c r="L77" s="48" t="s">
        <v>28</v>
      </c>
      <c r="M77" s="48" t="s">
        <v>28</v>
      </c>
      <c r="N77" s="48" t="s">
        <v>28</v>
      </c>
      <c r="O77" s="48"/>
      <c r="P77" s="48"/>
      <c r="Q77" s="48" t="s">
        <v>28</v>
      </c>
      <c r="R77" s="48" t="s">
        <v>28</v>
      </c>
      <c r="S77" s="48" t="s">
        <v>28</v>
      </c>
      <c r="T77" s="48" t="s">
        <v>28</v>
      </c>
      <c r="U77" s="48" t="s">
        <v>28</v>
      </c>
      <c r="V77" s="48" t="s">
        <v>28</v>
      </c>
      <c r="W77" s="48" t="s">
        <v>28</v>
      </c>
      <c r="X77" s="48" t="s">
        <v>28</v>
      </c>
      <c r="Y77" s="101">
        <f>F77</f>
        <v>4000</v>
      </c>
      <c r="Z77" s="101">
        <f>(Y77/D77)*100</f>
        <v>100</v>
      </c>
    </row>
    <row r="78" spans="2:26" ht="14.25" customHeight="1" x14ac:dyDescent="0.2">
      <c r="B78" s="140"/>
      <c r="C78" s="136"/>
      <c r="D78" s="118"/>
      <c r="E78" s="131"/>
      <c r="F78" s="99"/>
      <c r="G78" s="99"/>
      <c r="H78" s="110"/>
      <c r="I78" s="20">
        <v>4000</v>
      </c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119"/>
      <c r="Z78" s="119"/>
    </row>
    <row r="79" spans="2:26" ht="14.25" customHeight="1" x14ac:dyDescent="0.2">
      <c r="B79" s="140" t="s">
        <v>88</v>
      </c>
      <c r="C79" s="135" t="s">
        <v>89</v>
      </c>
      <c r="D79" s="117">
        <v>2400</v>
      </c>
      <c r="E79" s="130">
        <f>D79-F79</f>
        <v>0</v>
      </c>
      <c r="F79" s="98">
        <f>SUM(I80:X80)</f>
        <v>2400</v>
      </c>
      <c r="G79" s="98"/>
      <c r="H79" s="109">
        <v>0</v>
      </c>
      <c r="I79" s="48" t="s">
        <v>28</v>
      </c>
      <c r="J79" s="19">
        <v>2400</v>
      </c>
      <c r="K79" s="19" t="s">
        <v>28</v>
      </c>
      <c r="L79" s="19" t="s">
        <v>28</v>
      </c>
      <c r="M79" s="19" t="s">
        <v>28</v>
      </c>
      <c r="N79" s="19"/>
      <c r="O79" s="19" t="s">
        <v>28</v>
      </c>
      <c r="P79" s="19" t="s">
        <v>28</v>
      </c>
      <c r="Q79" s="19" t="s">
        <v>28</v>
      </c>
      <c r="R79" s="19" t="s">
        <v>28</v>
      </c>
      <c r="S79" s="19"/>
      <c r="T79" s="19" t="s">
        <v>28</v>
      </c>
      <c r="U79" s="19" t="s">
        <v>28</v>
      </c>
      <c r="V79" s="19" t="s">
        <v>28</v>
      </c>
      <c r="W79" s="19" t="s">
        <v>28</v>
      </c>
      <c r="X79" s="19" t="s">
        <v>28</v>
      </c>
      <c r="Y79" s="119">
        <f>F79</f>
        <v>2400</v>
      </c>
      <c r="Z79" s="119">
        <f>(Y79/D79)*100</f>
        <v>100</v>
      </c>
    </row>
    <row r="80" spans="2:26" ht="14.25" customHeight="1" x14ac:dyDescent="0.2">
      <c r="B80" s="140"/>
      <c r="C80" s="136"/>
      <c r="D80" s="118"/>
      <c r="E80" s="131"/>
      <c r="F80" s="99"/>
      <c r="G80" s="99"/>
      <c r="H80" s="110"/>
      <c r="I80" s="20"/>
      <c r="J80" s="20">
        <v>2400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119"/>
      <c r="Z80" s="119"/>
    </row>
    <row r="81" spans="1:32" ht="14.25" customHeight="1" x14ac:dyDescent="0.2">
      <c r="B81" s="140" t="s">
        <v>90</v>
      </c>
      <c r="C81" s="135" t="s">
        <v>91</v>
      </c>
      <c r="D81" s="117">
        <v>1000</v>
      </c>
      <c r="E81" s="130">
        <f>D81-F81</f>
        <v>0</v>
      </c>
      <c r="F81" s="98">
        <f>SUM(I82:X82)</f>
        <v>1000</v>
      </c>
      <c r="G81" s="98"/>
      <c r="H81" s="109" t="s">
        <v>28</v>
      </c>
      <c r="I81" s="48" t="s">
        <v>28</v>
      </c>
      <c r="J81" s="19" t="s">
        <v>28</v>
      </c>
      <c r="K81" s="19" t="s">
        <v>28</v>
      </c>
      <c r="L81" s="19" t="s">
        <v>28</v>
      </c>
      <c r="M81" s="19" t="s">
        <v>28</v>
      </c>
      <c r="N81" s="19" t="s">
        <v>28</v>
      </c>
      <c r="O81" s="19">
        <v>1000</v>
      </c>
      <c r="P81" s="19" t="s">
        <v>28</v>
      </c>
      <c r="Q81" s="19" t="s">
        <v>28</v>
      </c>
      <c r="R81" s="19" t="s">
        <v>28</v>
      </c>
      <c r="S81" s="19"/>
      <c r="T81" s="19" t="s">
        <v>28</v>
      </c>
      <c r="U81" s="19" t="s">
        <v>28</v>
      </c>
      <c r="V81" s="19" t="s">
        <v>28</v>
      </c>
      <c r="W81" s="19" t="s">
        <v>28</v>
      </c>
      <c r="X81" s="19" t="s">
        <v>28</v>
      </c>
      <c r="Y81" s="119">
        <f>F81</f>
        <v>1000</v>
      </c>
      <c r="Z81" s="119">
        <f>(Y81/D81)*100</f>
        <v>100</v>
      </c>
    </row>
    <row r="82" spans="1:32" ht="14.25" customHeight="1" x14ac:dyDescent="0.2">
      <c r="B82" s="140"/>
      <c r="C82" s="136"/>
      <c r="D82" s="118"/>
      <c r="E82" s="131"/>
      <c r="F82" s="99"/>
      <c r="G82" s="99"/>
      <c r="H82" s="110"/>
      <c r="I82" s="20"/>
      <c r="J82" s="20"/>
      <c r="K82" s="20"/>
      <c r="L82" s="20"/>
      <c r="M82" s="20"/>
      <c r="N82" s="20"/>
      <c r="O82" s="20">
        <v>1000</v>
      </c>
      <c r="P82" s="20"/>
      <c r="Q82" s="20"/>
      <c r="R82" s="20"/>
      <c r="S82" s="20"/>
      <c r="T82" s="20"/>
      <c r="U82" s="20"/>
      <c r="V82" s="20"/>
      <c r="W82" s="20"/>
      <c r="X82" s="20"/>
      <c r="Y82" s="119"/>
      <c r="Z82" s="119"/>
    </row>
    <row r="83" spans="1:32" ht="14.25" customHeight="1" x14ac:dyDescent="0.2">
      <c r="B83" s="140" t="s">
        <v>92</v>
      </c>
      <c r="C83" s="135" t="s">
        <v>93</v>
      </c>
      <c r="D83" s="117">
        <v>3120</v>
      </c>
      <c r="E83" s="130">
        <f>D83-F83</f>
        <v>0</v>
      </c>
      <c r="F83" s="98">
        <f>SUM(I84:X84)</f>
        <v>3120</v>
      </c>
      <c r="G83" s="98"/>
      <c r="H83" s="109" t="s">
        <v>28</v>
      </c>
      <c r="I83" s="48" t="s">
        <v>28</v>
      </c>
      <c r="J83" s="19" t="s">
        <v>28</v>
      </c>
      <c r="K83" s="19" t="s">
        <v>28</v>
      </c>
      <c r="L83" s="19" t="s">
        <v>28</v>
      </c>
      <c r="M83" s="19" t="s">
        <v>28</v>
      </c>
      <c r="N83" s="19" t="s">
        <v>28</v>
      </c>
      <c r="O83" s="19" t="s">
        <v>28</v>
      </c>
      <c r="P83" s="19" t="s">
        <v>28</v>
      </c>
      <c r="Q83" s="19" t="s">
        <v>28</v>
      </c>
      <c r="R83" s="19">
        <v>3120</v>
      </c>
      <c r="S83" s="19" t="s">
        <v>28</v>
      </c>
      <c r="T83" s="19" t="s">
        <v>28</v>
      </c>
      <c r="U83" s="19" t="s">
        <v>28</v>
      </c>
      <c r="V83" s="19" t="s">
        <v>28</v>
      </c>
      <c r="W83" s="19" t="s">
        <v>28</v>
      </c>
      <c r="X83" s="19" t="s">
        <v>28</v>
      </c>
      <c r="Y83" s="119">
        <f>F83</f>
        <v>3120</v>
      </c>
      <c r="Z83" s="119">
        <f>(Y83/D83)*100</f>
        <v>100</v>
      </c>
    </row>
    <row r="84" spans="1:32" ht="14.25" customHeight="1" x14ac:dyDescent="0.2">
      <c r="B84" s="140"/>
      <c r="C84" s="136"/>
      <c r="D84" s="118"/>
      <c r="E84" s="131"/>
      <c r="F84" s="99"/>
      <c r="G84" s="99"/>
      <c r="H84" s="110"/>
      <c r="I84" s="20"/>
      <c r="J84" s="20"/>
      <c r="K84" s="20"/>
      <c r="L84" s="20"/>
      <c r="M84" s="20"/>
      <c r="N84" s="20"/>
      <c r="O84" s="20"/>
      <c r="P84" s="20"/>
      <c r="Q84" s="20"/>
      <c r="R84" s="20">
        <v>3120</v>
      </c>
      <c r="S84" s="20"/>
      <c r="T84" s="20"/>
      <c r="U84" s="20"/>
      <c r="V84" s="20"/>
      <c r="W84" s="20"/>
      <c r="X84" s="20"/>
      <c r="Y84" s="119"/>
      <c r="Z84" s="119"/>
    </row>
    <row r="85" spans="1:32" ht="14.25" customHeight="1" x14ac:dyDescent="0.2">
      <c r="B85" s="140">
        <v>0</v>
      </c>
      <c r="C85" s="135">
        <v>0</v>
      </c>
      <c r="D85" s="117">
        <v>0</v>
      </c>
      <c r="E85" s="130">
        <f>D85-F85</f>
        <v>0</v>
      </c>
      <c r="F85" s="98">
        <f>SUM(I86:X86)</f>
        <v>0</v>
      </c>
      <c r="G85" s="98"/>
      <c r="H85" s="109" t="s">
        <v>28</v>
      </c>
      <c r="I85" s="48" t="s">
        <v>28</v>
      </c>
      <c r="J85" s="19" t="s">
        <v>28</v>
      </c>
      <c r="K85" s="19" t="s">
        <v>28</v>
      </c>
      <c r="L85" s="19" t="s">
        <v>28</v>
      </c>
      <c r="M85" s="19" t="s">
        <v>28</v>
      </c>
      <c r="N85" s="19" t="s">
        <v>28</v>
      </c>
      <c r="O85" s="19" t="s">
        <v>28</v>
      </c>
      <c r="P85" s="19" t="s">
        <v>28</v>
      </c>
      <c r="Q85" s="19" t="s">
        <v>28</v>
      </c>
      <c r="R85" s="19" t="s">
        <v>28</v>
      </c>
      <c r="S85" s="19" t="s">
        <v>28</v>
      </c>
      <c r="T85" s="19" t="s">
        <v>28</v>
      </c>
      <c r="U85" s="19" t="s">
        <v>28</v>
      </c>
      <c r="V85" s="19" t="s">
        <v>28</v>
      </c>
      <c r="W85" s="19" t="s">
        <v>28</v>
      </c>
      <c r="X85" s="19" t="s">
        <v>28</v>
      </c>
      <c r="Y85" s="119">
        <f>F85</f>
        <v>0</v>
      </c>
      <c r="Z85" s="119" t="e">
        <f>(Y85/D85)*100</f>
        <v>#DIV/0!</v>
      </c>
    </row>
    <row r="86" spans="1:32" ht="14.25" customHeight="1" x14ac:dyDescent="0.2">
      <c r="B86" s="140"/>
      <c r="C86" s="136"/>
      <c r="D86" s="118"/>
      <c r="E86" s="131"/>
      <c r="F86" s="99"/>
      <c r="G86" s="99"/>
      <c r="H86" s="11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119"/>
      <c r="Z86" s="119"/>
    </row>
    <row r="87" spans="1:32" ht="5.5" customHeight="1" x14ac:dyDescent="0.2">
      <c r="B87" s="49"/>
      <c r="C87" s="50"/>
      <c r="D87" s="120"/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52"/>
    </row>
    <row r="88" spans="1:32" ht="14.5" customHeight="1" x14ac:dyDescent="0.2">
      <c r="B88" s="69" t="s">
        <v>94</v>
      </c>
      <c r="C88" s="58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53"/>
    </row>
    <row r="89" spans="1:32" ht="14.5" customHeight="1" x14ac:dyDescent="0.2">
      <c r="B89" s="125" t="s">
        <v>95</v>
      </c>
      <c r="C89" s="127" t="s">
        <v>96</v>
      </c>
      <c r="D89" s="122"/>
      <c r="E89" s="117"/>
      <c r="F89" s="117"/>
      <c r="G89" s="98"/>
      <c r="H89" s="22"/>
      <c r="I89" s="19">
        <v>41525</v>
      </c>
      <c r="J89" s="19"/>
      <c r="K89" s="19"/>
      <c r="L89" s="19"/>
      <c r="M89" s="19"/>
      <c r="N89" s="19"/>
      <c r="O89" s="19">
        <v>41525</v>
      </c>
      <c r="P89" s="19"/>
      <c r="Q89" s="19"/>
      <c r="R89" s="19"/>
      <c r="S89" s="19"/>
      <c r="T89" s="19"/>
      <c r="U89" s="19"/>
      <c r="V89" s="19"/>
      <c r="W89" s="19"/>
      <c r="X89" s="19"/>
      <c r="Y89" s="119">
        <f>F89</f>
        <v>0</v>
      </c>
      <c r="Z89" s="119" t="e">
        <f>(Y89/D89)*100</f>
        <v>#DIV/0!</v>
      </c>
    </row>
    <row r="90" spans="1:32" s="3" customFormat="1" ht="14.5" customHeight="1" x14ac:dyDescent="0.25">
      <c r="A90"/>
      <c r="B90" s="126"/>
      <c r="C90" s="128"/>
      <c r="D90" s="123"/>
      <c r="E90" s="118"/>
      <c r="F90" s="118"/>
      <c r="G90" s="99"/>
      <c r="H90" s="23"/>
      <c r="I90" s="20">
        <v>41351</v>
      </c>
      <c r="J90" s="20"/>
      <c r="K90" s="20"/>
      <c r="L90" s="20"/>
      <c r="M90" s="20"/>
      <c r="N90" s="20"/>
      <c r="O90" s="20">
        <v>41351</v>
      </c>
      <c r="P90" s="20"/>
      <c r="Q90" s="20"/>
      <c r="R90" s="20"/>
      <c r="S90" s="20"/>
      <c r="T90" s="20"/>
      <c r="U90" s="20"/>
      <c r="V90" s="20"/>
      <c r="W90" s="20"/>
      <c r="X90" s="20"/>
      <c r="Y90" s="119"/>
      <c r="Z90" s="119"/>
      <c r="AA90"/>
      <c r="AB90"/>
      <c r="AC90"/>
      <c r="AD90"/>
      <c r="AE90"/>
      <c r="AF90"/>
    </row>
    <row r="91" spans="1:32" s="3" customFormat="1" ht="14.5" customHeight="1" x14ac:dyDescent="0.25">
      <c r="A91"/>
      <c r="B91" s="125" t="s">
        <v>97</v>
      </c>
      <c r="C91" s="127" t="s">
        <v>98</v>
      </c>
      <c r="D91" s="122"/>
      <c r="E91" s="117"/>
      <c r="F91" s="117"/>
      <c r="G91" s="98"/>
      <c r="H91" s="22"/>
      <c r="I91" s="19"/>
      <c r="J91" s="19">
        <v>58200</v>
      </c>
      <c r="K91" s="19"/>
      <c r="L91" s="19"/>
      <c r="M91" s="19"/>
      <c r="N91" s="19"/>
      <c r="O91" s="19">
        <v>58200</v>
      </c>
      <c r="P91" s="19"/>
      <c r="Q91" s="19"/>
      <c r="R91" s="19"/>
      <c r="S91" s="19"/>
      <c r="T91" s="19"/>
      <c r="U91" s="19"/>
      <c r="V91" s="19"/>
      <c r="W91" s="19"/>
      <c r="X91" s="19"/>
      <c r="Y91" s="119">
        <f>F91</f>
        <v>0</v>
      </c>
      <c r="Z91" s="119" t="e">
        <f>(Y91/D91)*100</f>
        <v>#DIV/0!</v>
      </c>
      <c r="AA91"/>
      <c r="AB91"/>
      <c r="AC91"/>
      <c r="AD91"/>
      <c r="AE91"/>
      <c r="AF91"/>
    </row>
    <row r="92" spans="1:32" s="3" customFormat="1" ht="14.5" customHeight="1" x14ac:dyDescent="0.25">
      <c r="A92"/>
      <c r="B92" s="126"/>
      <c r="C92" s="128"/>
      <c r="D92" s="123"/>
      <c r="E92" s="118"/>
      <c r="F92" s="118"/>
      <c r="G92" s="99"/>
      <c r="H92" s="23"/>
      <c r="I92" s="20"/>
      <c r="J92" s="20">
        <v>58200</v>
      </c>
      <c r="K92" s="20"/>
      <c r="L92" s="20"/>
      <c r="M92" s="20"/>
      <c r="N92" s="20"/>
      <c r="O92" s="20">
        <v>58200</v>
      </c>
      <c r="P92" s="20"/>
      <c r="Q92" s="20"/>
      <c r="R92" s="20"/>
      <c r="S92" s="20"/>
      <c r="T92" s="20"/>
      <c r="U92" s="20"/>
      <c r="V92" s="20"/>
      <c r="W92" s="20"/>
      <c r="X92" s="20"/>
      <c r="Y92" s="119"/>
      <c r="Z92" s="119"/>
      <c r="AA92"/>
      <c r="AB92"/>
      <c r="AC92"/>
      <c r="AD92"/>
      <c r="AE92"/>
      <c r="AF92"/>
    </row>
    <row r="93" spans="1:32" s="3" customFormat="1" ht="14.5" customHeight="1" x14ac:dyDescent="0.25">
      <c r="A93"/>
      <c r="B93" s="125" t="s">
        <v>99</v>
      </c>
      <c r="C93" s="127" t="s">
        <v>100</v>
      </c>
      <c r="D93" s="122"/>
      <c r="E93" s="117"/>
      <c r="F93" s="117"/>
      <c r="G93" s="98"/>
      <c r="H93" s="22"/>
      <c r="I93" s="19"/>
      <c r="J93" s="19">
        <v>2538</v>
      </c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19">
        <f>F93</f>
        <v>0</v>
      </c>
      <c r="Z93" s="119" t="e">
        <f>(Y93/D93)*100</f>
        <v>#DIV/0!</v>
      </c>
      <c r="AA93"/>
      <c r="AB93"/>
      <c r="AC93"/>
      <c r="AD93"/>
      <c r="AE93"/>
      <c r="AF93"/>
    </row>
    <row r="94" spans="1:32" s="3" customFormat="1" ht="14.5" customHeight="1" x14ac:dyDescent="0.25">
      <c r="A94"/>
      <c r="B94" s="126"/>
      <c r="C94" s="128"/>
      <c r="D94" s="123"/>
      <c r="E94" s="118"/>
      <c r="F94" s="118"/>
      <c r="G94" s="99"/>
      <c r="H94" s="23"/>
      <c r="I94" s="20"/>
      <c r="J94" s="20">
        <v>2538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119"/>
      <c r="Z94" s="119"/>
    </row>
    <row r="95" spans="1:32" s="3" customFormat="1" ht="14.5" customHeight="1" x14ac:dyDescent="0.25">
      <c r="A95"/>
      <c r="B95" s="125" t="s">
        <v>101</v>
      </c>
      <c r="C95" s="127" t="s">
        <v>102</v>
      </c>
      <c r="D95" s="122"/>
      <c r="E95" s="117"/>
      <c r="F95" s="117"/>
      <c r="G95" s="98"/>
      <c r="H95" s="22"/>
      <c r="I95" s="19"/>
      <c r="J95" s="19"/>
      <c r="K95" s="19"/>
      <c r="L95" s="19"/>
      <c r="M95" s="19"/>
      <c r="N95" s="19">
        <v>2850</v>
      </c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19">
        <f>F95</f>
        <v>0</v>
      </c>
      <c r="Z95" s="119" t="e">
        <f>(Y95/D95)*100</f>
        <v>#DIV/0!</v>
      </c>
    </row>
    <row r="96" spans="1:32" s="3" customFormat="1" ht="14.5" customHeight="1" x14ac:dyDescent="0.25">
      <c r="A96"/>
      <c r="B96" s="126"/>
      <c r="C96" s="128"/>
      <c r="D96" s="123"/>
      <c r="E96" s="118"/>
      <c r="F96" s="118"/>
      <c r="G96" s="99"/>
      <c r="H96" s="23"/>
      <c r="I96" s="20"/>
      <c r="J96" s="20"/>
      <c r="K96" s="20"/>
      <c r="L96" s="20"/>
      <c r="M96" s="20"/>
      <c r="N96" s="20">
        <v>2850</v>
      </c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119"/>
      <c r="Z96" s="119"/>
    </row>
    <row r="97" spans="1:26" s="3" customFormat="1" ht="14.5" customHeight="1" x14ac:dyDescent="0.25">
      <c r="A97"/>
      <c r="B97" s="125" t="s">
        <v>103</v>
      </c>
      <c r="C97" s="127" t="s">
        <v>104</v>
      </c>
      <c r="D97" s="122"/>
      <c r="E97" s="117"/>
      <c r="F97" s="117"/>
      <c r="G97" s="98"/>
      <c r="H97" s="22"/>
      <c r="I97" s="19"/>
      <c r="J97" s="19"/>
      <c r="K97" s="19"/>
      <c r="L97" s="19"/>
      <c r="M97" s="19"/>
      <c r="N97" s="19"/>
      <c r="O97" s="19"/>
      <c r="P97" s="19"/>
      <c r="Q97" s="19"/>
      <c r="R97" s="19">
        <v>10084</v>
      </c>
      <c r="S97" s="19"/>
      <c r="T97" s="19"/>
      <c r="U97" s="19"/>
      <c r="V97" s="19"/>
      <c r="W97" s="19"/>
      <c r="X97" s="19"/>
      <c r="Y97" s="119">
        <f>F97</f>
        <v>0</v>
      </c>
      <c r="Z97" s="119" t="e">
        <f>(Y97/D97)*100</f>
        <v>#DIV/0!</v>
      </c>
    </row>
    <row r="98" spans="1:26" s="3" customFormat="1" ht="14.5" customHeight="1" x14ac:dyDescent="0.25">
      <c r="A98"/>
      <c r="B98" s="126"/>
      <c r="C98" s="128"/>
      <c r="D98" s="123"/>
      <c r="E98" s="118"/>
      <c r="F98" s="118"/>
      <c r="G98" s="99"/>
      <c r="H98" s="23"/>
      <c r="I98" s="20"/>
      <c r="J98" s="20"/>
      <c r="K98" s="20"/>
      <c r="L98" s="20"/>
      <c r="M98" s="20"/>
      <c r="N98" s="20"/>
      <c r="O98" s="20"/>
      <c r="P98" s="20"/>
      <c r="Q98" s="20"/>
      <c r="R98" s="20">
        <v>10084</v>
      </c>
      <c r="S98" s="20"/>
      <c r="T98" s="20"/>
      <c r="U98" s="20"/>
      <c r="V98" s="20"/>
      <c r="W98" s="20"/>
      <c r="X98" s="20"/>
      <c r="Y98" s="119"/>
      <c r="Z98" s="119"/>
    </row>
    <row r="99" spans="1:26" s="3" customFormat="1" ht="14.5" customHeight="1" x14ac:dyDescent="0.25">
      <c r="A99"/>
      <c r="B99" s="125" t="s">
        <v>105</v>
      </c>
      <c r="C99" s="127" t="s">
        <v>106</v>
      </c>
      <c r="D99" s="122"/>
      <c r="E99" s="117"/>
      <c r="F99" s="117"/>
      <c r="G99" s="98"/>
      <c r="H99" s="22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>
        <v>13250</v>
      </c>
      <c r="V99" s="19"/>
      <c r="W99" s="19"/>
      <c r="X99" s="19"/>
      <c r="Y99" s="119">
        <f>F99</f>
        <v>0</v>
      </c>
      <c r="Z99" s="119" t="e">
        <f>(Y99/D99)*100</f>
        <v>#DIV/0!</v>
      </c>
    </row>
    <row r="100" spans="1:26" s="3" customFormat="1" ht="14.5" customHeight="1" x14ac:dyDescent="0.25">
      <c r="A100"/>
      <c r="B100" s="126"/>
      <c r="C100" s="128"/>
      <c r="D100" s="123"/>
      <c r="E100" s="118"/>
      <c r="F100" s="118"/>
      <c r="G100" s="99"/>
      <c r="H100" s="23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>
        <v>13250</v>
      </c>
      <c r="V100" s="20"/>
      <c r="W100" s="20"/>
      <c r="X100" s="20"/>
      <c r="Y100" s="119"/>
      <c r="Z100" s="119"/>
    </row>
    <row r="101" spans="1:26" s="3" customFormat="1" ht="14.5" customHeight="1" x14ac:dyDescent="0.25">
      <c r="A101"/>
      <c r="B101" s="125" t="s">
        <v>107</v>
      </c>
      <c r="C101" s="127" t="s">
        <v>108</v>
      </c>
      <c r="D101" s="122"/>
      <c r="E101" s="117"/>
      <c r="F101" s="117"/>
      <c r="G101" s="98"/>
      <c r="H101" s="22"/>
      <c r="I101" s="19"/>
      <c r="J101" s="19"/>
      <c r="K101" s="19"/>
      <c r="L101" s="19"/>
      <c r="M101" s="19"/>
      <c r="N101" s="19"/>
      <c r="O101" s="19"/>
      <c r="P101" s="19"/>
      <c r="Q101" s="19">
        <v>3182</v>
      </c>
      <c r="R101" s="19"/>
      <c r="S101" s="19"/>
      <c r="T101" s="19"/>
      <c r="U101" s="19"/>
      <c r="V101" s="19"/>
      <c r="W101" s="19"/>
      <c r="X101" s="19"/>
      <c r="Y101" s="119">
        <f>F101</f>
        <v>0</v>
      </c>
      <c r="Z101" s="119" t="e">
        <f>(Y101/D101)*100</f>
        <v>#DIV/0!</v>
      </c>
    </row>
    <row r="102" spans="1:26" s="3" customFormat="1" ht="14.5" customHeight="1" x14ac:dyDescent="0.25">
      <c r="A102"/>
      <c r="B102" s="126"/>
      <c r="C102" s="128"/>
      <c r="D102" s="123"/>
      <c r="E102" s="118"/>
      <c r="F102" s="118"/>
      <c r="G102" s="99"/>
      <c r="H102" s="23"/>
      <c r="I102" s="20"/>
      <c r="J102" s="20"/>
      <c r="K102" s="20"/>
      <c r="L102" s="20"/>
      <c r="M102" s="20"/>
      <c r="N102" s="20"/>
      <c r="O102" s="20"/>
      <c r="P102" s="20"/>
      <c r="Q102" s="20">
        <v>3182</v>
      </c>
      <c r="R102" s="20"/>
      <c r="S102" s="20"/>
      <c r="T102" s="20"/>
      <c r="U102" s="20"/>
      <c r="V102" s="20"/>
      <c r="W102" s="20"/>
      <c r="X102" s="20"/>
      <c r="Y102" s="119"/>
      <c r="Z102" s="119"/>
    </row>
    <row r="103" spans="1:26" s="3" customFormat="1" ht="14.5" customHeight="1" x14ac:dyDescent="0.25">
      <c r="A103"/>
      <c r="B103" s="125"/>
      <c r="C103" s="127" t="s">
        <v>109</v>
      </c>
      <c r="D103" s="122"/>
      <c r="E103" s="117"/>
      <c r="F103" s="117"/>
      <c r="G103" s="98"/>
      <c r="H103" s="22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19">
        <f>F103</f>
        <v>0</v>
      </c>
      <c r="Z103" s="119" t="e">
        <f>(Y103/D103)*100</f>
        <v>#DIV/0!</v>
      </c>
    </row>
    <row r="104" spans="1:26" s="3" customFormat="1" ht="14.5" customHeight="1" x14ac:dyDescent="0.25">
      <c r="A104"/>
      <c r="B104" s="126"/>
      <c r="C104" s="128"/>
      <c r="D104" s="123"/>
      <c r="E104" s="118"/>
      <c r="F104" s="118"/>
      <c r="G104" s="99"/>
      <c r="H104" s="23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119"/>
      <c r="Z104" s="119"/>
    </row>
    <row r="105" spans="1:26" s="3" customFormat="1" ht="14.5" customHeight="1" x14ac:dyDescent="0.25">
      <c r="A105"/>
      <c r="B105" s="125"/>
      <c r="C105" s="127"/>
      <c r="D105" s="122"/>
      <c r="E105" s="117"/>
      <c r="F105" s="117"/>
      <c r="G105" s="98"/>
      <c r="H105" s="22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19">
        <f>F105</f>
        <v>0</v>
      </c>
      <c r="Z105" s="119" t="e">
        <f>(Y105/D105)*100</f>
        <v>#DIV/0!</v>
      </c>
    </row>
    <row r="106" spans="1:26" s="3" customFormat="1" ht="14.5" customHeight="1" x14ac:dyDescent="0.25">
      <c r="A106"/>
      <c r="B106" s="126"/>
      <c r="C106" s="128"/>
      <c r="D106" s="123"/>
      <c r="E106" s="118"/>
      <c r="F106" s="118"/>
      <c r="G106" s="99"/>
      <c r="H106" s="23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119"/>
      <c r="Z106" s="119"/>
    </row>
    <row r="107" spans="1:26" s="3" customFormat="1" ht="14.5" customHeight="1" x14ac:dyDescent="0.25">
      <c r="A107"/>
      <c r="B107" s="125"/>
      <c r="C107" s="127"/>
      <c r="D107" s="122"/>
      <c r="E107" s="117"/>
      <c r="F107" s="117"/>
      <c r="G107" s="98"/>
      <c r="H107" s="22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19">
        <f>F107</f>
        <v>0</v>
      </c>
      <c r="Z107" s="119" t="e">
        <f>(Y107/D107)*100</f>
        <v>#DIV/0!</v>
      </c>
    </row>
    <row r="108" spans="1:26" s="3" customFormat="1" ht="14.5" customHeight="1" x14ac:dyDescent="0.25">
      <c r="A108"/>
      <c r="B108" s="126"/>
      <c r="C108" s="128"/>
      <c r="D108" s="123"/>
      <c r="E108" s="118"/>
      <c r="F108" s="118"/>
      <c r="G108" s="99"/>
      <c r="H108" s="23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119"/>
      <c r="Z108" s="119"/>
    </row>
    <row r="109" spans="1:26" s="3" customFormat="1" ht="14.5" customHeight="1" x14ac:dyDescent="0.25">
      <c r="A109"/>
      <c r="B109" s="125"/>
      <c r="C109" s="127"/>
      <c r="D109" s="122"/>
      <c r="E109" s="117"/>
      <c r="F109" s="117"/>
      <c r="G109" s="98"/>
      <c r="H109" s="22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19">
        <f>F109</f>
        <v>0</v>
      </c>
      <c r="Z109" s="119" t="e">
        <f>(Y109/D109)*100</f>
        <v>#DIV/0!</v>
      </c>
    </row>
    <row r="110" spans="1:26" s="3" customFormat="1" ht="14.5" customHeight="1" x14ac:dyDescent="0.25">
      <c r="A110"/>
      <c r="B110" s="126"/>
      <c r="C110" s="128"/>
      <c r="D110" s="129"/>
      <c r="E110" s="118"/>
      <c r="F110" s="118"/>
      <c r="G110" s="99"/>
      <c r="H110" s="23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119"/>
      <c r="Z110" s="119"/>
    </row>
    <row r="111" spans="1:26" s="3" customFormat="1" ht="14.5" customHeight="1" x14ac:dyDescent="0.25">
      <c r="A111"/>
      <c r="B111" s="125"/>
      <c r="C111" s="127"/>
      <c r="D111" s="122"/>
      <c r="E111" s="117"/>
      <c r="F111" s="117"/>
      <c r="G111" s="98"/>
      <c r="H111" s="22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19">
        <f>F111</f>
        <v>0</v>
      </c>
      <c r="Z111" s="119" t="e">
        <f>(Y111/D111)*100</f>
        <v>#DIV/0!</v>
      </c>
    </row>
    <row r="112" spans="1:26" s="3" customFormat="1" ht="14.5" customHeight="1" x14ac:dyDescent="0.25">
      <c r="A112"/>
      <c r="B112" s="126"/>
      <c r="C112" s="128"/>
      <c r="D112" s="123"/>
      <c r="E112" s="118"/>
      <c r="F112" s="118"/>
      <c r="G112" s="99"/>
      <c r="H112" s="23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119"/>
      <c r="Z112" s="119"/>
    </row>
    <row r="113" spans="1:26" s="3" customFormat="1" ht="14.5" customHeight="1" x14ac:dyDescent="0.25">
      <c r="A113"/>
      <c r="B113" s="125"/>
      <c r="C113" s="127"/>
      <c r="D113" s="122"/>
      <c r="E113" s="117"/>
      <c r="F113" s="117"/>
      <c r="G113" s="98"/>
      <c r="H113" s="22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19">
        <f>F113</f>
        <v>0</v>
      </c>
      <c r="Z113" s="119" t="e">
        <f>(Y113/D113)*100</f>
        <v>#DIV/0!</v>
      </c>
    </row>
    <row r="114" spans="1:26" s="3" customFormat="1" ht="14.5" customHeight="1" x14ac:dyDescent="0.25">
      <c r="A114"/>
      <c r="B114" s="126"/>
      <c r="C114" s="128"/>
      <c r="D114" s="123"/>
      <c r="E114" s="118"/>
      <c r="F114" s="118"/>
      <c r="G114" s="99"/>
      <c r="H114" s="23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119"/>
      <c r="Z114" s="119"/>
    </row>
    <row r="115" spans="1:26" s="3" customFormat="1" ht="14.5" customHeight="1" x14ac:dyDescent="0.25">
      <c r="A115"/>
      <c r="B115" s="125"/>
      <c r="C115" s="127"/>
      <c r="D115" s="122"/>
      <c r="E115" s="117"/>
      <c r="F115" s="117"/>
      <c r="G115" s="98"/>
      <c r="H115" s="22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00">
        <f>F115</f>
        <v>0</v>
      </c>
      <c r="Z115" s="100" t="e">
        <f>(Y115/D115)*100</f>
        <v>#DIV/0!</v>
      </c>
    </row>
    <row r="116" spans="1:26" s="3" customFormat="1" ht="14.5" customHeight="1" x14ac:dyDescent="0.25">
      <c r="A116"/>
      <c r="B116" s="126"/>
      <c r="C116" s="128"/>
      <c r="D116" s="123"/>
      <c r="E116" s="118"/>
      <c r="F116" s="118"/>
      <c r="G116" s="99"/>
      <c r="H116" s="23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101"/>
      <c r="Z116" s="101"/>
    </row>
    <row r="117" spans="1:26" s="3" customFormat="1" ht="15" customHeight="1" x14ac:dyDescent="0.25">
      <c r="A117"/>
      <c r="B117" s="125"/>
      <c r="C117" s="127"/>
      <c r="D117" s="122"/>
      <c r="E117" s="117"/>
      <c r="F117" s="117"/>
      <c r="G117" s="98"/>
      <c r="H117" s="22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19">
        <f>F117</f>
        <v>0</v>
      </c>
      <c r="Z117" s="119" t="e">
        <f>(Y117/D117)*100</f>
        <v>#DIV/0!</v>
      </c>
    </row>
    <row r="118" spans="1:26" s="3" customFormat="1" ht="14.5" customHeight="1" x14ac:dyDescent="0.25">
      <c r="A118"/>
      <c r="B118" s="156"/>
      <c r="C118" s="157"/>
      <c r="D118" s="158"/>
      <c r="E118" s="138"/>
      <c r="F118" s="138"/>
      <c r="G118" s="99"/>
      <c r="H118" s="51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100"/>
      <c r="Z118" s="100"/>
    </row>
    <row r="119" spans="1:26" ht="5.5" customHeight="1" x14ac:dyDescent="0.2">
      <c r="B119" s="52"/>
      <c r="C119" s="56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07"/>
    </row>
    <row r="120" spans="1:26" ht="14.5" customHeight="1" x14ac:dyDescent="0.2">
      <c r="B120" s="68" t="s">
        <v>110</v>
      </c>
      <c r="C120" s="57"/>
      <c r="D120" s="116"/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08"/>
    </row>
    <row r="121" spans="1:26" ht="14.5" customHeight="1" x14ac:dyDescent="0.2">
      <c r="B121" s="135" t="s">
        <v>37</v>
      </c>
      <c r="C121" s="135" t="s">
        <v>38</v>
      </c>
      <c r="D121" s="117">
        <v>600</v>
      </c>
      <c r="E121" s="130">
        <f>D121-F121</f>
        <v>248</v>
      </c>
      <c r="F121" s="98">
        <f>SUM(I122:X122)</f>
        <v>352</v>
      </c>
      <c r="G121" s="98"/>
      <c r="H121" s="154" t="s">
        <v>111</v>
      </c>
      <c r="I121" s="19" t="s">
        <v>28</v>
      </c>
      <c r="J121" s="19" t="s">
        <v>28</v>
      </c>
      <c r="K121" s="19" t="s">
        <v>28</v>
      </c>
      <c r="L121" s="19" t="s">
        <v>28</v>
      </c>
      <c r="M121" s="19" t="s">
        <v>28</v>
      </c>
      <c r="N121" s="19" t="s">
        <v>28</v>
      </c>
      <c r="O121" s="19" t="s">
        <v>28</v>
      </c>
      <c r="P121" s="19" t="s">
        <v>28</v>
      </c>
      <c r="Q121" s="19" t="s">
        <v>28</v>
      </c>
      <c r="R121" s="19" t="s">
        <v>28</v>
      </c>
      <c r="S121" s="19">
        <v>600</v>
      </c>
      <c r="T121" s="19" t="s">
        <v>28</v>
      </c>
      <c r="U121" s="19" t="s">
        <v>28</v>
      </c>
      <c r="V121" s="19" t="s">
        <v>28</v>
      </c>
      <c r="W121" s="19" t="s">
        <v>28</v>
      </c>
      <c r="X121" s="19" t="s">
        <v>28</v>
      </c>
      <c r="Y121" s="101">
        <f>F121</f>
        <v>352</v>
      </c>
      <c r="Z121" s="101">
        <f>(Y121/D121)*100</f>
        <v>58.666666666666664</v>
      </c>
    </row>
    <row r="122" spans="1:26" ht="14.5" customHeight="1" x14ac:dyDescent="0.2">
      <c r="B122" s="136"/>
      <c r="C122" s="136"/>
      <c r="D122" s="118"/>
      <c r="E122" s="131"/>
      <c r="F122" s="99"/>
      <c r="G122" s="99"/>
      <c r="H122" s="155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>
        <v>352</v>
      </c>
      <c r="T122" s="20"/>
      <c r="U122" s="20"/>
      <c r="V122" s="20"/>
      <c r="W122" s="20"/>
      <c r="X122" s="20"/>
      <c r="Y122" s="119"/>
      <c r="Z122" s="119"/>
    </row>
    <row r="123" spans="1:26" ht="14.5" customHeight="1" x14ac:dyDescent="0.2">
      <c r="B123" s="135">
        <v>0</v>
      </c>
      <c r="C123" s="135">
        <v>0</v>
      </c>
      <c r="D123" s="117">
        <v>0</v>
      </c>
      <c r="E123" s="130">
        <f t="shared" ref="E123" si="29">D123-F123</f>
        <v>0</v>
      </c>
      <c r="F123" s="98">
        <f t="shared" ref="F123" si="30">SUM(I124:X124)</f>
        <v>0</v>
      </c>
      <c r="G123" s="98"/>
      <c r="H123" s="154" t="s">
        <v>28</v>
      </c>
      <c r="I123" s="19" t="s">
        <v>28</v>
      </c>
      <c r="J123" s="19" t="s">
        <v>28</v>
      </c>
      <c r="K123" s="19" t="s">
        <v>28</v>
      </c>
      <c r="L123" s="19" t="s">
        <v>28</v>
      </c>
      <c r="M123" s="19" t="s">
        <v>28</v>
      </c>
      <c r="N123" s="19" t="s">
        <v>28</v>
      </c>
      <c r="O123" s="19" t="s">
        <v>28</v>
      </c>
      <c r="P123" s="19" t="s">
        <v>28</v>
      </c>
      <c r="Q123" s="19" t="s">
        <v>28</v>
      </c>
      <c r="R123" s="19" t="s">
        <v>28</v>
      </c>
      <c r="S123" s="19" t="s">
        <v>28</v>
      </c>
      <c r="T123" s="19" t="s">
        <v>28</v>
      </c>
      <c r="U123" s="19" t="s">
        <v>28</v>
      </c>
      <c r="V123" s="19" t="s">
        <v>28</v>
      </c>
      <c r="W123" s="19" t="s">
        <v>28</v>
      </c>
      <c r="X123" s="19" t="s">
        <v>28</v>
      </c>
      <c r="Y123" s="119">
        <f>F123</f>
        <v>0</v>
      </c>
      <c r="Z123" s="119" t="e">
        <f>(Y123/D123)*100</f>
        <v>#DIV/0!</v>
      </c>
    </row>
    <row r="124" spans="1:26" ht="14.5" customHeight="1" x14ac:dyDescent="0.2">
      <c r="B124" s="136"/>
      <c r="C124" s="136"/>
      <c r="D124" s="118"/>
      <c r="E124" s="131"/>
      <c r="F124" s="99"/>
      <c r="G124" s="99"/>
      <c r="H124" s="155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119"/>
      <c r="Z124" s="119"/>
    </row>
    <row r="125" spans="1:26" ht="14.5" customHeight="1" x14ac:dyDescent="0.2">
      <c r="B125" s="135">
        <v>0</v>
      </c>
      <c r="C125" s="135">
        <v>0</v>
      </c>
      <c r="D125" s="117">
        <v>0</v>
      </c>
      <c r="E125" s="130">
        <f t="shared" ref="E125" si="31">D125-F125</f>
        <v>0</v>
      </c>
      <c r="F125" s="98">
        <f t="shared" ref="F125" si="32">SUM(I126:X126)</f>
        <v>0</v>
      </c>
      <c r="G125" s="98"/>
      <c r="H125" s="154" t="s">
        <v>28</v>
      </c>
      <c r="I125" s="19" t="s">
        <v>28</v>
      </c>
      <c r="J125" s="19" t="s">
        <v>28</v>
      </c>
      <c r="K125" s="19" t="s">
        <v>28</v>
      </c>
      <c r="L125" s="19" t="s">
        <v>28</v>
      </c>
      <c r="M125" s="19" t="s">
        <v>28</v>
      </c>
      <c r="N125" s="19" t="s">
        <v>28</v>
      </c>
      <c r="O125" s="19" t="s">
        <v>28</v>
      </c>
      <c r="P125" s="19" t="s">
        <v>28</v>
      </c>
      <c r="Q125" s="19" t="s">
        <v>28</v>
      </c>
      <c r="R125" s="19" t="s">
        <v>28</v>
      </c>
      <c r="S125" s="19" t="s">
        <v>28</v>
      </c>
      <c r="T125" s="19" t="s">
        <v>28</v>
      </c>
      <c r="U125" s="19" t="s">
        <v>28</v>
      </c>
      <c r="V125" s="19" t="s">
        <v>28</v>
      </c>
      <c r="W125" s="19" t="s">
        <v>28</v>
      </c>
      <c r="X125" s="19" t="s">
        <v>28</v>
      </c>
      <c r="Y125" s="119">
        <f>F125</f>
        <v>0</v>
      </c>
      <c r="Z125" s="119" t="e">
        <f>(Y125/D125)*100</f>
        <v>#DIV/0!</v>
      </c>
    </row>
    <row r="126" spans="1:26" ht="14.5" customHeight="1" x14ac:dyDescent="0.2">
      <c r="B126" s="136"/>
      <c r="C126" s="136"/>
      <c r="D126" s="118"/>
      <c r="E126" s="131"/>
      <c r="F126" s="99"/>
      <c r="G126" s="99"/>
      <c r="H126" s="155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119"/>
      <c r="Z126" s="119"/>
    </row>
    <row r="127" spans="1:26" ht="5.5" customHeight="1" x14ac:dyDescent="0.2">
      <c r="B127" s="52"/>
      <c r="C127" s="56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07"/>
    </row>
    <row r="128" spans="1:26" ht="14.5" customHeight="1" x14ac:dyDescent="0.2">
      <c r="B128" s="68" t="s">
        <v>112</v>
      </c>
      <c r="C128" s="57"/>
      <c r="D128" s="116"/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08"/>
    </row>
    <row r="129" spans="2:26" ht="14.5" customHeight="1" x14ac:dyDescent="0.2">
      <c r="B129" s="136" t="s">
        <v>99</v>
      </c>
      <c r="C129" s="136" t="s">
        <v>113</v>
      </c>
      <c r="D129" s="118">
        <v>20</v>
      </c>
      <c r="E129" s="139">
        <f>D129-F129</f>
        <v>0</v>
      </c>
      <c r="F129" s="124">
        <f>SUM(I130:X130)</f>
        <v>20</v>
      </c>
      <c r="G129" s="98"/>
      <c r="H129" s="159" t="s">
        <v>114</v>
      </c>
      <c r="I129" s="48" t="s">
        <v>28</v>
      </c>
      <c r="J129" s="48">
        <v>20</v>
      </c>
      <c r="K129" s="48" t="s">
        <v>28</v>
      </c>
      <c r="L129" s="48" t="s">
        <v>28</v>
      </c>
      <c r="M129" s="48" t="s">
        <v>28</v>
      </c>
      <c r="N129" s="48" t="s">
        <v>28</v>
      </c>
      <c r="O129" s="48" t="s">
        <v>28</v>
      </c>
      <c r="P129" s="48" t="s">
        <v>28</v>
      </c>
      <c r="Q129" s="48" t="s">
        <v>28</v>
      </c>
      <c r="R129" s="48" t="s">
        <v>28</v>
      </c>
      <c r="S129" s="48" t="s">
        <v>28</v>
      </c>
      <c r="T129" s="48" t="s">
        <v>28</v>
      </c>
      <c r="U129" s="48" t="s">
        <v>28</v>
      </c>
      <c r="V129" s="48" t="s">
        <v>28</v>
      </c>
      <c r="W129" s="48" t="s">
        <v>28</v>
      </c>
      <c r="X129" s="48" t="s">
        <v>28</v>
      </c>
      <c r="Y129" s="101">
        <f>F129</f>
        <v>20</v>
      </c>
      <c r="Z129" s="101">
        <f>(Y129/D129)*100</f>
        <v>100</v>
      </c>
    </row>
    <row r="130" spans="2:26" ht="14.5" customHeight="1" x14ac:dyDescent="0.2">
      <c r="B130" s="151"/>
      <c r="C130" s="151"/>
      <c r="D130" s="141"/>
      <c r="E130" s="131"/>
      <c r="F130" s="99"/>
      <c r="G130" s="99"/>
      <c r="H130" s="160"/>
      <c r="I130" s="20"/>
      <c r="J130" s="20">
        <v>20</v>
      </c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119"/>
      <c r="Z130" s="119"/>
    </row>
    <row r="131" spans="2:26" ht="14.5" customHeight="1" x14ac:dyDescent="0.2">
      <c r="B131" s="136" t="s">
        <v>115</v>
      </c>
      <c r="C131" s="136" t="s">
        <v>116</v>
      </c>
      <c r="D131" s="118">
        <v>300</v>
      </c>
      <c r="E131" s="139">
        <f t="shared" ref="E131" si="33">D131-F131</f>
        <v>300</v>
      </c>
      <c r="F131" s="124">
        <f t="shared" ref="F131" si="34">SUM(I132:X132)</f>
        <v>0</v>
      </c>
      <c r="G131" s="98"/>
      <c r="H131" s="132" t="s">
        <v>28</v>
      </c>
      <c r="I131" s="48" t="s">
        <v>28</v>
      </c>
      <c r="J131" s="48" t="s">
        <v>28</v>
      </c>
      <c r="K131" s="48" t="s">
        <v>28</v>
      </c>
      <c r="L131" s="48" t="s">
        <v>28</v>
      </c>
      <c r="M131" s="48" t="s">
        <v>28</v>
      </c>
      <c r="N131" s="48" t="s">
        <v>28</v>
      </c>
      <c r="O131" s="48" t="s">
        <v>28</v>
      </c>
      <c r="P131" s="48" t="s">
        <v>28</v>
      </c>
      <c r="Q131" s="48">
        <v>300</v>
      </c>
      <c r="R131" s="48" t="s">
        <v>28</v>
      </c>
      <c r="S131" s="48" t="s">
        <v>28</v>
      </c>
      <c r="T131" s="48" t="s">
        <v>28</v>
      </c>
      <c r="U131" s="48" t="s">
        <v>28</v>
      </c>
      <c r="V131" s="48" t="s">
        <v>28</v>
      </c>
      <c r="W131" s="48" t="s">
        <v>28</v>
      </c>
      <c r="X131" s="48" t="s">
        <v>28</v>
      </c>
      <c r="Y131" s="119">
        <f>F131</f>
        <v>0</v>
      </c>
      <c r="Z131" s="119">
        <f>(Y131/D131)*100</f>
        <v>0</v>
      </c>
    </row>
    <row r="132" spans="2:26" ht="14.5" customHeight="1" x14ac:dyDescent="0.2">
      <c r="B132" s="151"/>
      <c r="C132" s="151"/>
      <c r="D132" s="141"/>
      <c r="E132" s="131"/>
      <c r="F132" s="99"/>
      <c r="G132" s="99"/>
      <c r="H132" s="11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119"/>
      <c r="Z132" s="119"/>
    </row>
    <row r="133" spans="2:26" ht="14.5" customHeight="1" x14ac:dyDescent="0.2">
      <c r="B133" s="136" t="s">
        <v>60</v>
      </c>
      <c r="C133" s="136" t="s">
        <v>61</v>
      </c>
      <c r="D133" s="118">
        <v>189</v>
      </c>
      <c r="E133" s="139">
        <f t="shared" ref="E133" si="35">D133-F133</f>
        <v>0</v>
      </c>
      <c r="F133" s="124">
        <f t="shared" ref="F133" si="36">SUM(I134:X134)</f>
        <v>189</v>
      </c>
      <c r="G133" s="98"/>
      <c r="H133" s="132" t="s">
        <v>117</v>
      </c>
      <c r="I133" s="48" t="s">
        <v>28</v>
      </c>
      <c r="J133" s="48" t="s">
        <v>28</v>
      </c>
      <c r="K133" s="48" t="s">
        <v>28</v>
      </c>
      <c r="L133" s="48" t="s">
        <v>28</v>
      </c>
      <c r="M133" s="48" t="s">
        <v>28</v>
      </c>
      <c r="N133" s="48" t="s">
        <v>28</v>
      </c>
      <c r="O133" s="48">
        <v>189</v>
      </c>
      <c r="P133" s="48" t="s">
        <v>28</v>
      </c>
      <c r="Q133" s="48" t="s">
        <v>28</v>
      </c>
      <c r="R133" s="48" t="s">
        <v>28</v>
      </c>
      <c r="S133" s="48" t="s">
        <v>28</v>
      </c>
      <c r="T133" s="48" t="s">
        <v>28</v>
      </c>
      <c r="U133" s="48" t="s">
        <v>28</v>
      </c>
      <c r="V133" s="48" t="s">
        <v>28</v>
      </c>
      <c r="W133" s="48" t="s">
        <v>28</v>
      </c>
      <c r="X133" s="48" t="s">
        <v>28</v>
      </c>
      <c r="Y133" s="119">
        <f>F133</f>
        <v>189</v>
      </c>
      <c r="Z133" s="119">
        <f>(Y133/D133)*100</f>
        <v>100</v>
      </c>
    </row>
    <row r="134" spans="2:26" ht="14.5" customHeight="1" x14ac:dyDescent="0.2">
      <c r="B134" s="151"/>
      <c r="C134" s="151"/>
      <c r="D134" s="141"/>
      <c r="E134" s="131"/>
      <c r="F134" s="99"/>
      <c r="G134" s="99"/>
      <c r="H134" s="110"/>
      <c r="I134" s="20"/>
      <c r="J134" s="20"/>
      <c r="K134" s="20"/>
      <c r="L134" s="20"/>
      <c r="M134" s="20"/>
      <c r="N134" s="20"/>
      <c r="O134" s="20">
        <v>189</v>
      </c>
      <c r="P134" s="20"/>
      <c r="Q134" s="20"/>
      <c r="R134" s="20"/>
      <c r="S134" s="20"/>
      <c r="T134" s="20"/>
      <c r="U134" s="20"/>
      <c r="V134" s="20"/>
      <c r="W134" s="20"/>
      <c r="X134" s="20"/>
      <c r="Y134" s="119"/>
      <c r="Z134" s="119"/>
    </row>
    <row r="135" spans="2:26" ht="14.5" customHeight="1" x14ac:dyDescent="0.2">
      <c r="B135" s="136">
        <v>0</v>
      </c>
      <c r="C135" s="136">
        <v>0</v>
      </c>
      <c r="D135" s="118">
        <v>0</v>
      </c>
      <c r="E135" s="139">
        <f t="shared" ref="E135" si="37">D135-F135</f>
        <v>0</v>
      </c>
      <c r="F135" s="124">
        <f t="shared" ref="F135" si="38">SUM(I136:X136)</f>
        <v>0</v>
      </c>
      <c r="G135" s="98"/>
      <c r="H135" s="132" t="s">
        <v>28</v>
      </c>
      <c r="I135" s="48" t="s">
        <v>28</v>
      </c>
      <c r="J135" s="48" t="s">
        <v>28</v>
      </c>
      <c r="K135" s="48" t="s">
        <v>28</v>
      </c>
      <c r="L135" s="48" t="s">
        <v>28</v>
      </c>
      <c r="M135" s="48" t="s">
        <v>28</v>
      </c>
      <c r="N135" s="48" t="s">
        <v>28</v>
      </c>
      <c r="O135" s="48" t="s">
        <v>28</v>
      </c>
      <c r="P135" s="48" t="s">
        <v>28</v>
      </c>
      <c r="Q135" s="48" t="s">
        <v>28</v>
      </c>
      <c r="R135" s="48" t="s">
        <v>28</v>
      </c>
      <c r="S135" s="48" t="s">
        <v>28</v>
      </c>
      <c r="T135" s="48" t="s">
        <v>28</v>
      </c>
      <c r="U135" s="48" t="s">
        <v>28</v>
      </c>
      <c r="V135" s="48" t="s">
        <v>28</v>
      </c>
      <c r="W135" s="48" t="s">
        <v>28</v>
      </c>
      <c r="X135" s="48" t="s">
        <v>28</v>
      </c>
      <c r="Y135" s="119">
        <f>F135</f>
        <v>0</v>
      </c>
      <c r="Z135" s="119" t="e">
        <f>(Y135/D135)*100</f>
        <v>#DIV/0!</v>
      </c>
    </row>
    <row r="136" spans="2:26" ht="14.5" customHeight="1" x14ac:dyDescent="0.2">
      <c r="B136" s="151"/>
      <c r="C136" s="151"/>
      <c r="D136" s="141"/>
      <c r="E136" s="131"/>
      <c r="F136" s="99"/>
      <c r="G136" s="99"/>
      <c r="H136" s="11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119"/>
      <c r="Z136" s="119"/>
    </row>
    <row r="137" spans="2:26" ht="14.5" customHeight="1" x14ac:dyDescent="0.2">
      <c r="B137" s="136">
        <v>0</v>
      </c>
      <c r="C137" s="136">
        <v>0</v>
      </c>
      <c r="D137" s="118">
        <v>0</v>
      </c>
      <c r="E137" s="139">
        <f t="shared" ref="E137" si="39">D137-F137</f>
        <v>0</v>
      </c>
      <c r="F137" s="124">
        <f t="shared" ref="F137" si="40">SUM(I138:X138)</f>
        <v>0</v>
      </c>
      <c r="G137" s="98"/>
      <c r="H137" s="132" t="s">
        <v>28</v>
      </c>
      <c r="I137" s="48" t="s">
        <v>28</v>
      </c>
      <c r="J137" s="48" t="s">
        <v>28</v>
      </c>
      <c r="K137" s="48" t="s">
        <v>28</v>
      </c>
      <c r="L137" s="48" t="s">
        <v>28</v>
      </c>
      <c r="M137" s="48" t="s">
        <v>28</v>
      </c>
      <c r="N137" s="48" t="s">
        <v>28</v>
      </c>
      <c r="O137" s="48" t="s">
        <v>28</v>
      </c>
      <c r="P137" s="48" t="s">
        <v>28</v>
      </c>
      <c r="Q137" s="48" t="s">
        <v>28</v>
      </c>
      <c r="R137" s="48" t="s">
        <v>28</v>
      </c>
      <c r="S137" s="48" t="s">
        <v>28</v>
      </c>
      <c r="T137" s="48" t="s">
        <v>28</v>
      </c>
      <c r="U137" s="48" t="s">
        <v>28</v>
      </c>
      <c r="V137" s="48" t="s">
        <v>28</v>
      </c>
      <c r="W137" s="48" t="s">
        <v>28</v>
      </c>
      <c r="X137" s="48" t="s">
        <v>28</v>
      </c>
      <c r="Y137" s="119">
        <f>F137</f>
        <v>0</v>
      </c>
      <c r="Z137" s="119" t="e">
        <f>(Y137/D137)*100</f>
        <v>#DIV/0!</v>
      </c>
    </row>
    <row r="138" spans="2:26" ht="14.5" customHeight="1" x14ac:dyDescent="0.2">
      <c r="B138" s="151"/>
      <c r="C138" s="151"/>
      <c r="D138" s="141"/>
      <c r="E138" s="131"/>
      <c r="F138" s="99"/>
      <c r="G138" s="99"/>
      <c r="H138" s="11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119"/>
      <c r="Z138" s="119"/>
    </row>
  </sheetData>
  <mergeCells count="670">
    <mergeCell ref="B25:B26"/>
    <mergeCell ref="C25:C26"/>
    <mergeCell ref="D25:D26"/>
    <mergeCell ref="E25:E26"/>
    <mergeCell ref="F25:F26"/>
    <mergeCell ref="H25:H26"/>
    <mergeCell ref="Y25:Y26"/>
    <mergeCell ref="Z25:Z26"/>
    <mergeCell ref="C57:C58"/>
    <mergeCell ref="D57:D58"/>
    <mergeCell ref="E57:E58"/>
    <mergeCell ref="F57:F58"/>
    <mergeCell ref="H57:H58"/>
    <mergeCell ref="B49:B50"/>
    <mergeCell ref="B47:B48"/>
    <mergeCell ref="C47:C48"/>
    <mergeCell ref="B37:B38"/>
    <mergeCell ref="C37:C38"/>
    <mergeCell ref="G41:G42"/>
    <mergeCell ref="C49:C50"/>
    <mergeCell ref="D49:D50"/>
    <mergeCell ref="E49:E50"/>
    <mergeCell ref="V31:V32"/>
    <mergeCell ref="X31:X32"/>
    <mergeCell ref="G59:G60"/>
    <mergeCell ref="Y51:Y52"/>
    <mergeCell ref="Z51:Z52"/>
    <mergeCell ref="Z23:Z24"/>
    <mergeCell ref="D23:D24"/>
    <mergeCell ref="E23:E24"/>
    <mergeCell ref="F23:F24"/>
    <mergeCell ref="Y23:Y24"/>
    <mergeCell ref="G23:G24"/>
    <mergeCell ref="H23:H24"/>
    <mergeCell ref="D47:D48"/>
    <mergeCell ref="E47:E48"/>
    <mergeCell ref="F47:F48"/>
    <mergeCell ref="H47:H48"/>
    <mergeCell ref="G35:G36"/>
    <mergeCell ref="Y39:Y40"/>
    <mergeCell ref="Y37:Y38"/>
    <mergeCell ref="Z37:Z38"/>
    <mergeCell ref="D37:D38"/>
    <mergeCell ref="E37:E38"/>
    <mergeCell ref="F37:F38"/>
    <mergeCell ref="H37:H38"/>
    <mergeCell ref="G37:G38"/>
    <mergeCell ref="G39:G40"/>
    <mergeCell ref="B99:B100"/>
    <mergeCell ref="C99:C100"/>
    <mergeCell ref="Y43:Y44"/>
    <mergeCell ref="Y45:Y46"/>
    <mergeCell ref="Z45:Z46"/>
    <mergeCell ref="B43:B44"/>
    <mergeCell ref="C43:C44"/>
    <mergeCell ref="D43:D44"/>
    <mergeCell ref="E43:E44"/>
    <mergeCell ref="F43:F44"/>
    <mergeCell ref="H43:H44"/>
    <mergeCell ref="G43:G44"/>
    <mergeCell ref="H45:H46"/>
    <mergeCell ref="Y55:Y56"/>
    <mergeCell ref="Z55:Z56"/>
    <mergeCell ref="B53:B54"/>
    <mergeCell ref="C53:C54"/>
    <mergeCell ref="D53:D54"/>
    <mergeCell ref="E53:E54"/>
    <mergeCell ref="F53:F54"/>
    <mergeCell ref="H53:H54"/>
    <mergeCell ref="G61:G62"/>
    <mergeCell ref="Z61:Z62"/>
    <mergeCell ref="Y57:Y58"/>
    <mergeCell ref="F131:F132"/>
    <mergeCell ref="H131:H132"/>
    <mergeCell ref="Y131:Y132"/>
    <mergeCell ref="G121:G122"/>
    <mergeCell ref="Y123:Y124"/>
    <mergeCell ref="B111:B112"/>
    <mergeCell ref="C111:C112"/>
    <mergeCell ref="X127:X128"/>
    <mergeCell ref="Y127:Y128"/>
    <mergeCell ref="R127:R128"/>
    <mergeCell ref="S127:S128"/>
    <mergeCell ref="T127:T128"/>
    <mergeCell ref="U127:U128"/>
    <mergeCell ref="V127:V128"/>
    <mergeCell ref="W127:W128"/>
    <mergeCell ref="J127:J128"/>
    <mergeCell ref="K127:K128"/>
    <mergeCell ref="L127:L128"/>
    <mergeCell ref="M127:M128"/>
    <mergeCell ref="N127:N128"/>
    <mergeCell ref="O127:O128"/>
    <mergeCell ref="P127:P128"/>
    <mergeCell ref="Q127:Q128"/>
    <mergeCell ref="B129:B130"/>
    <mergeCell ref="Z137:Z138"/>
    <mergeCell ref="B137:B138"/>
    <mergeCell ref="C137:C138"/>
    <mergeCell ref="D137:D138"/>
    <mergeCell ref="E137:E138"/>
    <mergeCell ref="F137:F138"/>
    <mergeCell ref="H137:H138"/>
    <mergeCell ref="G137:G138"/>
    <mergeCell ref="Y137:Y138"/>
    <mergeCell ref="Z131:Z132"/>
    <mergeCell ref="Y133:Y134"/>
    <mergeCell ref="Z133:Z134"/>
    <mergeCell ref="G131:G132"/>
    <mergeCell ref="G133:G134"/>
    <mergeCell ref="B135:B136"/>
    <mergeCell ref="C135:C136"/>
    <mergeCell ref="D135:D136"/>
    <mergeCell ref="E135:E136"/>
    <mergeCell ref="F135:F136"/>
    <mergeCell ref="H135:H136"/>
    <mergeCell ref="Y135:Y136"/>
    <mergeCell ref="Z135:Z136"/>
    <mergeCell ref="B133:B134"/>
    <mergeCell ref="C133:C134"/>
    <mergeCell ref="D133:D134"/>
    <mergeCell ref="E133:E134"/>
    <mergeCell ref="F133:F134"/>
    <mergeCell ref="H133:H134"/>
    <mergeCell ref="G135:G136"/>
    <mergeCell ref="B131:B132"/>
    <mergeCell ref="C131:C132"/>
    <mergeCell ref="D131:D132"/>
    <mergeCell ref="E131:E132"/>
    <mergeCell ref="C129:C130"/>
    <mergeCell ref="D129:D130"/>
    <mergeCell ref="E129:E130"/>
    <mergeCell ref="F129:F130"/>
    <mergeCell ref="H129:H130"/>
    <mergeCell ref="Y129:Y130"/>
    <mergeCell ref="Z129:Z130"/>
    <mergeCell ref="G129:G130"/>
    <mergeCell ref="D127:D128"/>
    <mergeCell ref="E127:E128"/>
    <mergeCell ref="F127:F128"/>
    <mergeCell ref="G127:G128"/>
    <mergeCell ref="H127:H128"/>
    <mergeCell ref="I127:I128"/>
    <mergeCell ref="Z127:Z128"/>
    <mergeCell ref="B125:B126"/>
    <mergeCell ref="C125:C126"/>
    <mergeCell ref="D125:D126"/>
    <mergeCell ref="E125:E126"/>
    <mergeCell ref="F125:F126"/>
    <mergeCell ref="H125:H126"/>
    <mergeCell ref="Y125:Y126"/>
    <mergeCell ref="Z125:Z126"/>
    <mergeCell ref="B123:B124"/>
    <mergeCell ref="C123:C124"/>
    <mergeCell ref="D123:D124"/>
    <mergeCell ref="E123:E124"/>
    <mergeCell ref="F123:F124"/>
    <mergeCell ref="H123:H124"/>
    <mergeCell ref="G123:G124"/>
    <mergeCell ref="G125:G126"/>
    <mergeCell ref="B113:B114"/>
    <mergeCell ref="C113:C114"/>
    <mergeCell ref="D113:D114"/>
    <mergeCell ref="E113:E114"/>
    <mergeCell ref="F113:F114"/>
    <mergeCell ref="Y113:Y114"/>
    <mergeCell ref="B117:B118"/>
    <mergeCell ref="C117:C118"/>
    <mergeCell ref="D117:D118"/>
    <mergeCell ref="E117:E118"/>
    <mergeCell ref="F117:F118"/>
    <mergeCell ref="Y117:Y118"/>
    <mergeCell ref="B115:B116"/>
    <mergeCell ref="C115:C116"/>
    <mergeCell ref="D115:D116"/>
    <mergeCell ref="E115:E116"/>
    <mergeCell ref="F115:F116"/>
    <mergeCell ref="Y115:Y116"/>
    <mergeCell ref="Z115:Z116"/>
    <mergeCell ref="G115:G116"/>
    <mergeCell ref="B121:B122"/>
    <mergeCell ref="C121:C122"/>
    <mergeCell ref="D121:D122"/>
    <mergeCell ref="E121:E122"/>
    <mergeCell ref="F121:F122"/>
    <mergeCell ref="H121:H122"/>
    <mergeCell ref="Y121:Y122"/>
    <mergeCell ref="Z121:Z122"/>
    <mergeCell ref="Z117:Z118"/>
    <mergeCell ref="K119:K120"/>
    <mergeCell ref="L119:L120"/>
    <mergeCell ref="M119:M120"/>
    <mergeCell ref="N119:N120"/>
    <mergeCell ref="O119:O120"/>
    <mergeCell ref="P119:P120"/>
    <mergeCell ref="Q119:Q120"/>
    <mergeCell ref="R119:R120"/>
    <mergeCell ref="S119:S120"/>
    <mergeCell ref="T119:T120"/>
    <mergeCell ref="H119:H120"/>
    <mergeCell ref="I119:I120"/>
    <mergeCell ref="Y119:Y120"/>
    <mergeCell ref="B107:B108"/>
    <mergeCell ref="C107:C108"/>
    <mergeCell ref="E101:E102"/>
    <mergeCell ref="F101:F102"/>
    <mergeCell ref="Y101:Y102"/>
    <mergeCell ref="Z101:Z102"/>
    <mergeCell ref="B103:B104"/>
    <mergeCell ref="C103:C104"/>
    <mergeCell ref="D103:D104"/>
    <mergeCell ref="E103:E104"/>
    <mergeCell ref="F103:F104"/>
    <mergeCell ref="Y103:Y104"/>
    <mergeCell ref="Z103:Z104"/>
    <mergeCell ref="B105:B106"/>
    <mergeCell ref="C105:C106"/>
    <mergeCell ref="D105:D106"/>
    <mergeCell ref="E105:E106"/>
    <mergeCell ref="G105:G106"/>
    <mergeCell ref="G107:G108"/>
    <mergeCell ref="B85:B86"/>
    <mergeCell ref="C85:C86"/>
    <mergeCell ref="B95:B96"/>
    <mergeCell ref="C95:C96"/>
    <mergeCell ref="D95:D96"/>
    <mergeCell ref="E95:E96"/>
    <mergeCell ref="F95:F96"/>
    <mergeCell ref="Y95:Y96"/>
    <mergeCell ref="Z95:Z96"/>
    <mergeCell ref="B93:B94"/>
    <mergeCell ref="C93:C94"/>
    <mergeCell ref="D93:D94"/>
    <mergeCell ref="E93:E94"/>
    <mergeCell ref="F93:F94"/>
    <mergeCell ref="Y93:Y94"/>
    <mergeCell ref="G91:G92"/>
    <mergeCell ref="G93:G94"/>
    <mergeCell ref="G95:G96"/>
    <mergeCell ref="B91:B92"/>
    <mergeCell ref="C91:C92"/>
    <mergeCell ref="D91:D92"/>
    <mergeCell ref="E91:E92"/>
    <mergeCell ref="F91:F92"/>
    <mergeCell ref="Y91:Y92"/>
    <mergeCell ref="Z91:Z92"/>
    <mergeCell ref="L87:L88"/>
    <mergeCell ref="M87:M88"/>
    <mergeCell ref="N87:N88"/>
    <mergeCell ref="O87:O88"/>
    <mergeCell ref="P87:P88"/>
    <mergeCell ref="Q87:Q88"/>
    <mergeCell ref="B89:B90"/>
    <mergeCell ref="C89:C90"/>
    <mergeCell ref="D89:D90"/>
    <mergeCell ref="E89:E90"/>
    <mergeCell ref="F89:F90"/>
    <mergeCell ref="Y89:Y90"/>
    <mergeCell ref="Z89:Z90"/>
    <mergeCell ref="G89:G90"/>
    <mergeCell ref="Y87:Y88"/>
    <mergeCell ref="Z87:Z88"/>
    <mergeCell ref="S87:S88"/>
    <mergeCell ref="B21:B22"/>
    <mergeCell ref="C21:C22"/>
    <mergeCell ref="D21:D22"/>
    <mergeCell ref="E21:E22"/>
    <mergeCell ref="F21:F22"/>
    <mergeCell ref="H21:H22"/>
    <mergeCell ref="Y21:Y22"/>
    <mergeCell ref="Z21:Z22"/>
    <mergeCell ref="C65:C66"/>
    <mergeCell ref="Z53:Z54"/>
    <mergeCell ref="B55:B56"/>
    <mergeCell ref="C55:C56"/>
    <mergeCell ref="D55:D56"/>
    <mergeCell ref="E55:E56"/>
    <mergeCell ref="F55:F56"/>
    <mergeCell ref="H55:H56"/>
    <mergeCell ref="Y53:Y54"/>
    <mergeCell ref="B61:B62"/>
    <mergeCell ref="C61:C62"/>
    <mergeCell ref="D61:D62"/>
    <mergeCell ref="E61:E62"/>
    <mergeCell ref="F61:F62"/>
    <mergeCell ref="H61:H62"/>
    <mergeCell ref="Y61:Y62"/>
    <mergeCell ref="H65:H66"/>
    <mergeCell ref="B67:B68"/>
    <mergeCell ref="C67:C68"/>
    <mergeCell ref="F49:F50"/>
    <mergeCell ref="H49:H50"/>
    <mergeCell ref="Y47:Y48"/>
    <mergeCell ref="Z47:Z48"/>
    <mergeCell ref="Y49:Y50"/>
    <mergeCell ref="Z49:Z50"/>
    <mergeCell ref="B51:B52"/>
    <mergeCell ref="H67:H68"/>
    <mergeCell ref="Y67:Y68"/>
    <mergeCell ref="Z67:Z68"/>
    <mergeCell ref="Z57:Z58"/>
    <mergeCell ref="B59:B60"/>
    <mergeCell ref="C59:C60"/>
    <mergeCell ref="D59:D60"/>
    <mergeCell ref="E59:E60"/>
    <mergeCell ref="F59:F60"/>
    <mergeCell ref="H59:H60"/>
    <mergeCell ref="Y59:Y60"/>
    <mergeCell ref="Z59:Z60"/>
    <mergeCell ref="B57:B58"/>
    <mergeCell ref="B63:B64"/>
    <mergeCell ref="B15:B16"/>
    <mergeCell ref="C15:C16"/>
    <mergeCell ref="D15:D16"/>
    <mergeCell ref="E15:E16"/>
    <mergeCell ref="F15:F16"/>
    <mergeCell ref="H15:H16"/>
    <mergeCell ref="D51:D52"/>
    <mergeCell ref="Y15:Y16"/>
    <mergeCell ref="Z15:Z16"/>
    <mergeCell ref="G17:G18"/>
    <mergeCell ref="B17:B18"/>
    <mergeCell ref="Y17:Y18"/>
    <mergeCell ref="Z17:Z18"/>
    <mergeCell ref="Y27:Y28"/>
    <mergeCell ref="Z27:Z28"/>
    <mergeCell ref="D29:D30"/>
    <mergeCell ref="E29:E30"/>
    <mergeCell ref="F29:F30"/>
    <mergeCell ref="H29:H30"/>
    <mergeCell ref="Y29:Y30"/>
    <mergeCell ref="Z29:Z30"/>
    <mergeCell ref="B27:B28"/>
    <mergeCell ref="C27:C28"/>
    <mergeCell ref="D27:D28"/>
    <mergeCell ref="H19:H20"/>
    <mergeCell ref="Y19:Y20"/>
    <mergeCell ref="Z19:Z20"/>
    <mergeCell ref="Y69:Y70"/>
    <mergeCell ref="Z69:Z70"/>
    <mergeCell ref="Z39:Z40"/>
    <mergeCell ref="B41:B42"/>
    <mergeCell ref="C41:C42"/>
    <mergeCell ref="D41:D42"/>
    <mergeCell ref="E41:E42"/>
    <mergeCell ref="F41:F42"/>
    <mergeCell ref="H41:H42"/>
    <mergeCell ref="Y41:Y42"/>
    <mergeCell ref="Z41:Z42"/>
    <mergeCell ref="B39:B40"/>
    <mergeCell ref="C39:C40"/>
    <mergeCell ref="D39:D40"/>
    <mergeCell ref="E39:E40"/>
    <mergeCell ref="F39:F40"/>
    <mergeCell ref="H39:H40"/>
    <mergeCell ref="E69:E70"/>
    <mergeCell ref="F69:F70"/>
    <mergeCell ref="H69:H70"/>
    <mergeCell ref="D65:D66"/>
    <mergeCell ref="B81:B82"/>
    <mergeCell ref="C81:C82"/>
    <mergeCell ref="D81:D82"/>
    <mergeCell ref="E81:E82"/>
    <mergeCell ref="F81:F82"/>
    <mergeCell ref="H81:H82"/>
    <mergeCell ref="Y81:Y82"/>
    <mergeCell ref="R71:R72"/>
    <mergeCell ref="X71:X72"/>
    <mergeCell ref="B75:B76"/>
    <mergeCell ref="C75:C76"/>
    <mergeCell ref="D75:D76"/>
    <mergeCell ref="E75:E76"/>
    <mergeCell ref="F75:F76"/>
    <mergeCell ref="H75:H76"/>
    <mergeCell ref="Y75:Y76"/>
    <mergeCell ref="B79:B80"/>
    <mergeCell ref="C79:C80"/>
    <mergeCell ref="D79:D80"/>
    <mergeCell ref="E79:E80"/>
    <mergeCell ref="F79:F80"/>
    <mergeCell ref="H79:H80"/>
    <mergeCell ref="Y79:Y80"/>
    <mergeCell ref="G77:G78"/>
    <mergeCell ref="B73:B74"/>
    <mergeCell ref="C73:C74"/>
    <mergeCell ref="D73:D74"/>
    <mergeCell ref="E73:E74"/>
    <mergeCell ref="F73:F74"/>
    <mergeCell ref="H73:H74"/>
    <mergeCell ref="Y73:Y74"/>
    <mergeCell ref="Z73:Z74"/>
    <mergeCell ref="Z75:Z76"/>
    <mergeCell ref="Y65:Y66"/>
    <mergeCell ref="Z65:Z66"/>
    <mergeCell ref="B65:B66"/>
    <mergeCell ref="B77:B78"/>
    <mergeCell ref="C77:C78"/>
    <mergeCell ref="D77:D78"/>
    <mergeCell ref="E77:E78"/>
    <mergeCell ref="Y63:Y64"/>
    <mergeCell ref="Z63:Z64"/>
    <mergeCell ref="G65:G66"/>
    <mergeCell ref="G67:G68"/>
    <mergeCell ref="G69:G70"/>
    <mergeCell ref="Y71:Y72"/>
    <mergeCell ref="Z71:Z72"/>
    <mergeCell ref="S71:S72"/>
    <mergeCell ref="T71:T72"/>
    <mergeCell ref="N71:N72"/>
    <mergeCell ref="D71:D72"/>
    <mergeCell ref="E71:E72"/>
    <mergeCell ref="F71:F72"/>
    <mergeCell ref="G71:G72"/>
    <mergeCell ref="H71:H72"/>
    <mergeCell ref="I71:I72"/>
    <mergeCell ref="Z77:Z78"/>
    <mergeCell ref="B1:B3"/>
    <mergeCell ref="Y6:Y7"/>
    <mergeCell ref="Z6:Z7"/>
    <mergeCell ref="I8:J8"/>
    <mergeCell ref="M8:N8"/>
    <mergeCell ref="O8:P8"/>
    <mergeCell ref="Q8:R8"/>
    <mergeCell ref="S8:T8"/>
    <mergeCell ref="U8:V8"/>
    <mergeCell ref="Y8:Y9"/>
    <mergeCell ref="Z8:Z9"/>
    <mergeCell ref="B83:B84"/>
    <mergeCell ref="C83:C84"/>
    <mergeCell ref="H13:H14"/>
    <mergeCell ref="C17:C18"/>
    <mergeCell ref="D17:D18"/>
    <mergeCell ref="E17:E18"/>
    <mergeCell ref="F17:F18"/>
    <mergeCell ref="G33:G34"/>
    <mergeCell ref="E51:E52"/>
    <mergeCell ref="F51:F52"/>
    <mergeCell ref="H51:H52"/>
    <mergeCell ref="E27:E28"/>
    <mergeCell ref="F27:F28"/>
    <mergeCell ref="H27:H28"/>
    <mergeCell ref="G27:G28"/>
    <mergeCell ref="B35:B36"/>
    <mergeCell ref="C63:C64"/>
    <mergeCell ref="D63:D64"/>
    <mergeCell ref="E63:E64"/>
    <mergeCell ref="F63:F64"/>
    <mergeCell ref="H63:H64"/>
    <mergeCell ref="D83:D84"/>
    <mergeCell ref="E83:E84"/>
    <mergeCell ref="B33:B34"/>
    <mergeCell ref="G19:G20"/>
    <mergeCell ref="G21:G22"/>
    <mergeCell ref="B69:B70"/>
    <mergeCell ref="C69:C70"/>
    <mergeCell ref="D69:D70"/>
    <mergeCell ref="E65:E66"/>
    <mergeCell ref="F65:F66"/>
    <mergeCell ref="D19:D20"/>
    <mergeCell ref="E19:E20"/>
    <mergeCell ref="F19:F20"/>
    <mergeCell ref="D67:D68"/>
    <mergeCell ref="E67:E68"/>
    <mergeCell ref="F67:F68"/>
    <mergeCell ref="F45:F46"/>
    <mergeCell ref="C51:C52"/>
    <mergeCell ref="C33:C34"/>
    <mergeCell ref="D33:D34"/>
    <mergeCell ref="E33:E34"/>
    <mergeCell ref="F33:F34"/>
    <mergeCell ref="G25:G26"/>
    <mergeCell ref="C35:C36"/>
    <mergeCell ref="D31:D32"/>
    <mergeCell ref="E31:E32"/>
    <mergeCell ref="F31:F32"/>
    <mergeCell ref="D11:D12"/>
    <mergeCell ref="E11:E12"/>
    <mergeCell ref="F11:F12"/>
    <mergeCell ref="H11:H12"/>
    <mergeCell ref="B29:B30"/>
    <mergeCell ref="C29:C30"/>
    <mergeCell ref="G63:G64"/>
    <mergeCell ref="F35:F36"/>
    <mergeCell ref="B19:B20"/>
    <mergeCell ref="C19:C20"/>
    <mergeCell ref="H33:H34"/>
    <mergeCell ref="G13:G14"/>
    <mergeCell ref="G15:G16"/>
    <mergeCell ref="B13:B14"/>
    <mergeCell ref="C13:C14"/>
    <mergeCell ref="D13:D14"/>
    <mergeCell ref="E13:E14"/>
    <mergeCell ref="F13:F14"/>
    <mergeCell ref="D35:D36"/>
    <mergeCell ref="E35:E36"/>
    <mergeCell ref="B45:B46"/>
    <mergeCell ref="C45:C46"/>
    <mergeCell ref="D45:D46"/>
    <mergeCell ref="E45:E46"/>
    <mergeCell ref="Y83:Y84"/>
    <mergeCell ref="Z83:Z84"/>
    <mergeCell ref="D85:D86"/>
    <mergeCell ref="E85:E86"/>
    <mergeCell ref="F85:F86"/>
    <mergeCell ref="H85:H86"/>
    <mergeCell ref="Y85:Y86"/>
    <mergeCell ref="Z85:Z86"/>
    <mergeCell ref="U71:U72"/>
    <mergeCell ref="V71:V72"/>
    <mergeCell ref="W71:W72"/>
    <mergeCell ref="F83:F84"/>
    <mergeCell ref="H83:H84"/>
    <mergeCell ref="Z81:Z82"/>
    <mergeCell ref="Y77:Y78"/>
    <mergeCell ref="Z79:Z80"/>
    <mergeCell ref="J71:J72"/>
    <mergeCell ref="K71:K72"/>
    <mergeCell ref="L71:L72"/>
    <mergeCell ref="M71:M72"/>
    <mergeCell ref="H77:H78"/>
    <mergeCell ref="O71:O72"/>
    <mergeCell ref="P71:P72"/>
    <mergeCell ref="Q71:Q72"/>
    <mergeCell ref="Z113:Z114"/>
    <mergeCell ref="Z107:Z108"/>
    <mergeCell ref="Z123:Z124"/>
    <mergeCell ref="Z105:Z106"/>
    <mergeCell ref="B97:B98"/>
    <mergeCell ref="C97:C98"/>
    <mergeCell ref="D97:D98"/>
    <mergeCell ref="E97:E98"/>
    <mergeCell ref="F97:F98"/>
    <mergeCell ref="Y97:Y98"/>
    <mergeCell ref="G117:G118"/>
    <mergeCell ref="F105:F106"/>
    <mergeCell ref="Y105:Y106"/>
    <mergeCell ref="J119:J120"/>
    <mergeCell ref="G97:G98"/>
    <mergeCell ref="G99:G100"/>
    <mergeCell ref="G101:G102"/>
    <mergeCell ref="G103:G104"/>
    <mergeCell ref="B101:B102"/>
    <mergeCell ref="C101:C102"/>
    <mergeCell ref="D101:D102"/>
    <mergeCell ref="B109:B110"/>
    <mergeCell ref="C109:C110"/>
    <mergeCell ref="D109:D110"/>
    <mergeCell ref="G109:G110"/>
    <mergeCell ref="G111:G112"/>
    <mergeCell ref="G113:G114"/>
    <mergeCell ref="G85:G86"/>
    <mergeCell ref="G73:G74"/>
    <mergeCell ref="G75:G76"/>
    <mergeCell ref="D119:D120"/>
    <mergeCell ref="E119:E120"/>
    <mergeCell ref="F119:F120"/>
    <mergeCell ref="G119:G120"/>
    <mergeCell ref="D99:D100"/>
    <mergeCell ref="E99:E100"/>
    <mergeCell ref="F99:F100"/>
    <mergeCell ref="E109:E110"/>
    <mergeCell ref="F109:F110"/>
    <mergeCell ref="D107:D108"/>
    <mergeCell ref="E107:E108"/>
    <mergeCell ref="F107:F108"/>
    <mergeCell ref="F77:F78"/>
    <mergeCell ref="G79:G80"/>
    <mergeCell ref="G81:G82"/>
    <mergeCell ref="G83:G84"/>
    <mergeCell ref="D111:D112"/>
    <mergeCell ref="E111:E112"/>
    <mergeCell ref="F111:F112"/>
    <mergeCell ref="Y111:Y112"/>
    <mergeCell ref="Z111:Z112"/>
    <mergeCell ref="D87:D88"/>
    <mergeCell ref="E87:E88"/>
    <mergeCell ref="F87:F88"/>
    <mergeCell ref="G87:G88"/>
    <mergeCell ref="H87:H88"/>
    <mergeCell ref="I87:I88"/>
    <mergeCell ref="J87:J88"/>
    <mergeCell ref="K87:K88"/>
    <mergeCell ref="Z97:Z98"/>
    <mergeCell ref="Y99:Y100"/>
    <mergeCell ref="Z99:Z100"/>
    <mergeCell ref="Z93:Z94"/>
    <mergeCell ref="Y109:Y110"/>
    <mergeCell ref="Z109:Z110"/>
    <mergeCell ref="Y107:Y108"/>
    <mergeCell ref="R87:R88"/>
    <mergeCell ref="T87:T88"/>
    <mergeCell ref="U87:U88"/>
    <mergeCell ref="V87:V88"/>
    <mergeCell ref="W87:W88"/>
    <mergeCell ref="X87:X88"/>
    <mergeCell ref="G31:G32"/>
    <mergeCell ref="H31:H32"/>
    <mergeCell ref="I31:I32"/>
    <mergeCell ref="J31:J32"/>
    <mergeCell ref="K31:K32"/>
    <mergeCell ref="L31:L32"/>
    <mergeCell ref="M31:M32"/>
    <mergeCell ref="N31:N32"/>
    <mergeCell ref="O31:O32"/>
    <mergeCell ref="P31:P32"/>
    <mergeCell ref="Q31:Q32"/>
    <mergeCell ref="R31:R32"/>
    <mergeCell ref="S31:S32"/>
    <mergeCell ref="T31:T32"/>
    <mergeCell ref="U119:U120"/>
    <mergeCell ref="V119:V120"/>
    <mergeCell ref="W119:W120"/>
    <mergeCell ref="X119:X120"/>
    <mergeCell ref="Z119:Z120"/>
    <mergeCell ref="G47:G48"/>
    <mergeCell ref="G49:G50"/>
    <mergeCell ref="G51:G52"/>
    <mergeCell ref="G53:G54"/>
    <mergeCell ref="G55:G56"/>
    <mergeCell ref="G57:G58"/>
    <mergeCell ref="K11:K12"/>
    <mergeCell ref="L11:L12"/>
    <mergeCell ref="N11:N12"/>
    <mergeCell ref="G11:G12"/>
    <mergeCell ref="H35:H36"/>
    <mergeCell ref="I11:I12"/>
    <mergeCell ref="J11:J12"/>
    <mergeCell ref="H17:H18"/>
    <mergeCell ref="M11:M12"/>
    <mergeCell ref="Z31:Z32"/>
    <mergeCell ref="T11:T12"/>
    <mergeCell ref="U11:U12"/>
    <mergeCell ref="V11:V12"/>
    <mergeCell ref="W11:W12"/>
    <mergeCell ref="X11:X12"/>
    <mergeCell ref="Y11:Y12"/>
    <mergeCell ref="Z11:Z12"/>
    <mergeCell ref="G45:G46"/>
    <mergeCell ref="Y13:Y14"/>
    <mergeCell ref="Z13:Z14"/>
    <mergeCell ref="O11:O12"/>
    <mergeCell ref="P11:P12"/>
    <mergeCell ref="Q11:Q12"/>
    <mergeCell ref="Y33:Y34"/>
    <mergeCell ref="Z33:Z34"/>
    <mergeCell ref="Z43:Z44"/>
    <mergeCell ref="Y35:Y36"/>
    <mergeCell ref="Z35:Z36"/>
    <mergeCell ref="R11:R12"/>
    <mergeCell ref="S11:S12"/>
    <mergeCell ref="Y31:Y32"/>
    <mergeCell ref="R23:R24"/>
    <mergeCell ref="S23:S24"/>
    <mergeCell ref="T23:T24"/>
    <mergeCell ref="U23:U24"/>
    <mergeCell ref="V23:V24"/>
    <mergeCell ref="W23:W24"/>
    <mergeCell ref="X23:X24"/>
    <mergeCell ref="W31:W32"/>
    <mergeCell ref="G29:G30"/>
    <mergeCell ref="U31:U32"/>
    <mergeCell ref="I23:I24"/>
    <mergeCell ref="J23:J24"/>
    <mergeCell ref="K23:K24"/>
    <mergeCell ref="L23:L24"/>
    <mergeCell ref="M23:M24"/>
    <mergeCell ref="N23:N24"/>
    <mergeCell ref="O23:O24"/>
    <mergeCell ref="P23:P24"/>
    <mergeCell ref="Q23:Q24"/>
  </mergeCells>
  <conditionalFormatting sqref="F93 H93">
    <cfRule type="cellIs" dxfId="360" priority="1110" operator="lessThan">
      <formula>0.1</formula>
    </cfRule>
  </conditionalFormatting>
  <conditionalFormatting sqref="E93">
    <cfRule type="cellIs" dxfId="359" priority="1111" operator="lessThan">
      <formula>0.1</formula>
    </cfRule>
  </conditionalFormatting>
  <conditionalFormatting sqref="I36:X36 I34:W34 N110:X110 I106:P106 I42:O42 I108:X108 M96:X96 I94:X94 I74:X74 I48:X48 I66:X66 I44:N44 I46:X46 K92:L92 I76:X76 I112:L112 I114:X114 I40:X40 I64:X64 I130 I126 I122 J14:X14 I30:X30 I22:X22 I18:X18 I132 I134 S28:X28 I28:Q28 S106:X106 Q44:X44 I16:U16 X16 O98:X98 N112:X112 N92 Q42:X42 I124 I86:X86 I136 I138 I90:X90 P92:X92 I80:L80 N80 M79">
    <cfRule type="cellIs" dxfId="358" priority="1106" operator="greaterThan">
      <formula>0</formula>
    </cfRule>
  </conditionalFormatting>
  <conditionalFormatting sqref="E17">
    <cfRule type="cellIs" dxfId="357" priority="1108" operator="lessThan">
      <formula>0.1</formula>
    </cfRule>
  </conditionalFormatting>
  <conditionalFormatting sqref="Z73 Z75">
    <cfRule type="cellIs" dxfId="356" priority="1097" operator="lessThan">
      <formula>0.1</formula>
    </cfRule>
  </conditionalFormatting>
  <conditionalFormatting sqref="Y73 Y75">
    <cfRule type="cellIs" dxfId="355" priority="1098" operator="lessThan">
      <formula>0.1</formula>
    </cfRule>
  </conditionalFormatting>
  <conditionalFormatting sqref="E41">
    <cfRule type="cellIs" dxfId="354" priority="1094" operator="lessThan">
      <formula>0.1</formula>
    </cfRule>
  </conditionalFormatting>
  <conditionalFormatting sqref="Z35">
    <cfRule type="cellIs" dxfId="353" priority="1091" operator="lessThan">
      <formula>0.1</formula>
    </cfRule>
  </conditionalFormatting>
  <conditionalFormatting sqref="Y35">
    <cfRule type="cellIs" dxfId="352" priority="1092" operator="lessThan">
      <formula>0.1</formula>
    </cfRule>
  </conditionalFormatting>
  <conditionalFormatting sqref="F89 H89">
    <cfRule type="cellIs" dxfId="351" priority="1089" operator="lessThan">
      <formula>0.1</formula>
    </cfRule>
  </conditionalFormatting>
  <conditionalFormatting sqref="E89">
    <cfRule type="cellIs" dxfId="350" priority="1090" operator="lessThan">
      <formula>0.1</formula>
    </cfRule>
  </conditionalFormatting>
  <conditionalFormatting sqref="F105 H105">
    <cfRule type="cellIs" dxfId="349" priority="1076" operator="lessThan">
      <formula>0.1</formula>
    </cfRule>
  </conditionalFormatting>
  <conditionalFormatting sqref="E105">
    <cfRule type="cellIs" dxfId="348" priority="1077" operator="lessThan">
      <formula>0.1</formula>
    </cfRule>
  </conditionalFormatting>
  <conditionalFormatting sqref="F107 H107">
    <cfRule type="cellIs" dxfId="347" priority="1074" operator="lessThan">
      <formula>0.1</formula>
    </cfRule>
  </conditionalFormatting>
  <conditionalFormatting sqref="E107">
    <cfRule type="cellIs" dxfId="346" priority="1075" operator="lessThan">
      <formula>0.1</formula>
    </cfRule>
  </conditionalFormatting>
  <conditionalFormatting sqref="Z39">
    <cfRule type="cellIs" dxfId="345" priority="1058" operator="lessThan">
      <formula>0.1</formula>
    </cfRule>
  </conditionalFormatting>
  <conditionalFormatting sqref="Y39">
    <cfRule type="cellIs" dxfId="344" priority="1059" operator="lessThan">
      <formula>0.1</formula>
    </cfRule>
  </conditionalFormatting>
  <conditionalFormatting sqref="Z41">
    <cfRule type="cellIs" dxfId="343" priority="1056" operator="lessThan">
      <formula>0.1</formula>
    </cfRule>
  </conditionalFormatting>
  <conditionalFormatting sqref="Y41">
    <cfRule type="cellIs" dxfId="342" priority="1057" operator="lessThan">
      <formula>0.1</formula>
    </cfRule>
  </conditionalFormatting>
  <conditionalFormatting sqref="Z27">
    <cfRule type="cellIs" dxfId="341" priority="1061" operator="lessThan">
      <formula>0.1</formula>
    </cfRule>
  </conditionalFormatting>
  <conditionalFormatting sqref="Y27">
    <cfRule type="cellIs" dxfId="340" priority="1062" operator="lessThan">
      <formula>0.1</formula>
    </cfRule>
  </conditionalFormatting>
  <conditionalFormatting sqref="E27">
    <cfRule type="cellIs" dxfId="339" priority="1060" operator="lessThan">
      <formula>0.1</formula>
    </cfRule>
  </conditionalFormatting>
  <conditionalFormatting sqref="Y47">
    <cfRule type="cellIs" dxfId="338" priority="1054" operator="lessThan">
      <formula>0.1</formula>
    </cfRule>
  </conditionalFormatting>
  <conditionalFormatting sqref="Z47">
    <cfRule type="cellIs" dxfId="337" priority="1053" operator="lessThan">
      <formula>0.1</formula>
    </cfRule>
  </conditionalFormatting>
  <conditionalFormatting sqref="Z63">
    <cfRule type="cellIs" dxfId="336" priority="1048" operator="lessThan">
      <formula>0.1</formula>
    </cfRule>
  </conditionalFormatting>
  <conditionalFormatting sqref="Y63">
    <cfRule type="cellIs" dxfId="335" priority="1049" operator="lessThan">
      <formula>0.1</formula>
    </cfRule>
  </conditionalFormatting>
  <conditionalFormatting sqref="Y89 Y93 Y95 Y97 Y105 Y107">
    <cfRule type="cellIs" dxfId="334" priority="1040" operator="lessThan">
      <formula>0.1</formula>
    </cfRule>
  </conditionalFormatting>
  <conditionalFormatting sqref="Z89 Z93 Z95 Z97 Z105 Z107">
    <cfRule type="cellIs" dxfId="333" priority="1039" operator="lessThan">
      <formula>0.1</formula>
    </cfRule>
  </conditionalFormatting>
  <conditionalFormatting sqref="Z91">
    <cfRule type="cellIs" dxfId="332" priority="1004" operator="lessThan">
      <formula>0.1</formula>
    </cfRule>
  </conditionalFormatting>
  <conditionalFormatting sqref="Z129">
    <cfRule type="cellIs" dxfId="331" priority="1014" operator="lessThan">
      <formula>0.1</formula>
    </cfRule>
  </conditionalFormatting>
  <conditionalFormatting sqref="Y65">
    <cfRule type="cellIs" dxfId="330" priority="1044" operator="lessThan">
      <formula>0.1</formula>
    </cfRule>
  </conditionalFormatting>
  <conditionalFormatting sqref="Z65">
    <cfRule type="cellIs" dxfId="329" priority="1043" operator="lessThan">
      <formula>0.1</formula>
    </cfRule>
  </conditionalFormatting>
  <conditionalFormatting sqref="E43">
    <cfRule type="cellIs" dxfId="328" priority="1030" operator="lessThan">
      <formula>0.1</formula>
    </cfRule>
  </conditionalFormatting>
  <conditionalFormatting sqref="Z43">
    <cfRule type="cellIs" dxfId="327" priority="1017" operator="lessThan">
      <formula>0.1</formula>
    </cfRule>
  </conditionalFormatting>
  <conditionalFormatting sqref="E45 E47 E63 E65">
    <cfRule type="cellIs" dxfId="326" priority="1020" operator="lessThan">
      <formula>0.1</formula>
    </cfRule>
  </conditionalFormatting>
  <conditionalFormatting sqref="Y29">
    <cfRule type="cellIs" dxfId="325" priority="1037" operator="lessThan">
      <formula>0.1</formula>
    </cfRule>
  </conditionalFormatting>
  <conditionalFormatting sqref="E91">
    <cfRule type="cellIs" dxfId="324" priority="1007" operator="lessThan">
      <formula>0.1</formula>
    </cfRule>
  </conditionalFormatting>
  <conditionalFormatting sqref="Z29">
    <cfRule type="cellIs" dxfId="323" priority="1036" operator="lessThan">
      <formula>0.1</formula>
    </cfRule>
  </conditionalFormatting>
  <conditionalFormatting sqref="Y129">
    <cfRule type="cellIs" dxfId="322" priority="1015" operator="lessThan">
      <formula>0.1</formula>
    </cfRule>
  </conditionalFormatting>
  <conditionalFormatting sqref="Y137">
    <cfRule type="cellIs" dxfId="321" priority="1022" operator="lessThan">
      <formula>0.1</formula>
    </cfRule>
  </conditionalFormatting>
  <conditionalFormatting sqref="Y43">
    <cfRule type="cellIs" dxfId="320" priority="1018" operator="lessThan">
      <formula>0.1</formula>
    </cfRule>
  </conditionalFormatting>
  <conditionalFormatting sqref="Z135">
    <cfRule type="cellIs" dxfId="319" priority="1025" operator="lessThan">
      <formula>0.1</formula>
    </cfRule>
  </conditionalFormatting>
  <conditionalFormatting sqref="Y135">
    <cfRule type="cellIs" dxfId="318" priority="1026" operator="lessThan">
      <formula>0.1</formula>
    </cfRule>
  </conditionalFormatting>
  <conditionalFormatting sqref="Z137">
    <cfRule type="cellIs" dxfId="317" priority="1021" operator="lessThan">
      <formula>0.1</formula>
    </cfRule>
  </conditionalFormatting>
  <conditionalFormatting sqref="Y133">
    <cfRule type="cellIs" dxfId="316" priority="1009" operator="lessThan">
      <formula>0.1</formula>
    </cfRule>
  </conditionalFormatting>
  <conditionalFormatting sqref="Y45">
    <cfRule type="cellIs" dxfId="315" priority="1016" operator="lessThan">
      <formula>0.1</formula>
    </cfRule>
  </conditionalFormatting>
  <conditionalFormatting sqref="Z131">
    <cfRule type="cellIs" dxfId="314" priority="1012" operator="lessThan">
      <formula>0.1</formula>
    </cfRule>
  </conditionalFormatting>
  <conditionalFormatting sqref="Y131">
    <cfRule type="cellIs" dxfId="313" priority="1013" operator="lessThan">
      <formula>0.1</formula>
    </cfRule>
  </conditionalFormatting>
  <conditionalFormatting sqref="Z133">
    <cfRule type="cellIs" dxfId="312" priority="1008" operator="lessThan">
      <formula>0.1</formula>
    </cfRule>
  </conditionalFormatting>
  <conditionalFormatting sqref="F91 H91">
    <cfRule type="cellIs" dxfId="311" priority="1006" operator="lessThan">
      <formula>0.1</formula>
    </cfRule>
  </conditionalFormatting>
  <conditionalFormatting sqref="Y91">
    <cfRule type="cellIs" dxfId="310" priority="1005" operator="lessThan">
      <formula>0.1</formula>
    </cfRule>
  </conditionalFormatting>
  <conditionalFormatting sqref="E35">
    <cfRule type="cellIs" dxfId="309" priority="1003" operator="lessThan">
      <formula>0.1</formula>
    </cfRule>
  </conditionalFormatting>
  <conditionalFormatting sqref="E39">
    <cfRule type="cellIs" dxfId="308" priority="1001" operator="lessThan">
      <formula>0.1</formula>
    </cfRule>
  </conditionalFormatting>
  <conditionalFormatting sqref="X34">
    <cfRule type="cellIs" dxfId="307" priority="997" operator="greaterThan">
      <formula>0</formula>
    </cfRule>
  </conditionalFormatting>
  <conditionalFormatting sqref="Z33">
    <cfRule type="cellIs" dxfId="306" priority="995" operator="lessThan">
      <formula>0.1</formula>
    </cfRule>
  </conditionalFormatting>
  <conditionalFormatting sqref="Y33">
    <cfRule type="cellIs" dxfId="305" priority="996" operator="lessThan">
      <formula>0.1</formula>
    </cfRule>
  </conditionalFormatting>
  <conditionalFormatting sqref="F33:G33">
    <cfRule type="cellIs" dxfId="304" priority="994" operator="lessThan">
      <formula>0.1</formula>
    </cfRule>
  </conditionalFormatting>
  <conditionalFormatting sqref="E33">
    <cfRule type="cellIs" dxfId="303" priority="993" operator="lessThan">
      <formula>0.1</formula>
    </cfRule>
  </conditionalFormatting>
  <conditionalFormatting sqref="H33 H35 H37 H39 H41 H43 H45 H47 H49 H51 H53 H55 H57 H59 H61 H63 H65 H67 H69">
    <cfRule type="cellIs" dxfId="302" priority="992" operator="lessThan">
      <formula>0.1</formula>
    </cfRule>
  </conditionalFormatting>
  <conditionalFormatting sqref="Y111">
    <cfRule type="cellIs" dxfId="301" priority="981" operator="lessThan">
      <formula>0.1</formula>
    </cfRule>
  </conditionalFormatting>
  <conditionalFormatting sqref="F111 H111">
    <cfRule type="cellIs" dxfId="300" priority="982" operator="lessThan">
      <formula>0.1</formula>
    </cfRule>
  </conditionalFormatting>
  <conditionalFormatting sqref="Z109">
    <cfRule type="cellIs" dxfId="299" priority="988" operator="lessThan">
      <formula>0.1</formula>
    </cfRule>
  </conditionalFormatting>
  <conditionalFormatting sqref="Y109">
    <cfRule type="cellIs" dxfId="298" priority="989" operator="lessThan">
      <formula>0.1</formula>
    </cfRule>
  </conditionalFormatting>
  <conditionalFormatting sqref="Y113 Y115">
    <cfRule type="cellIs" dxfId="297" priority="977" operator="lessThan">
      <formula>0.1</formula>
    </cfRule>
  </conditionalFormatting>
  <conditionalFormatting sqref="F113 H113">
    <cfRule type="cellIs" dxfId="296" priority="978" operator="lessThan">
      <formula>0.1</formula>
    </cfRule>
  </conditionalFormatting>
  <conditionalFormatting sqref="Y13">
    <cfRule type="cellIs" dxfId="295" priority="975" operator="lessThan">
      <formula>0.1</formula>
    </cfRule>
  </conditionalFormatting>
  <conditionalFormatting sqref="Z113 Z115">
    <cfRule type="cellIs" dxfId="294" priority="976" operator="lessThan">
      <formula>0.1</formula>
    </cfRule>
  </conditionalFormatting>
  <conditionalFormatting sqref="E111">
    <cfRule type="cellIs" dxfId="293" priority="983" operator="lessThan">
      <formula>0.1</formula>
    </cfRule>
  </conditionalFormatting>
  <conditionalFormatting sqref="Z111">
    <cfRule type="cellIs" dxfId="292" priority="980" operator="lessThan">
      <formula>0.1</formula>
    </cfRule>
  </conditionalFormatting>
  <conditionalFormatting sqref="Y121">
    <cfRule type="cellIs" dxfId="291" priority="967" operator="lessThan">
      <formula>0.1</formula>
    </cfRule>
  </conditionalFormatting>
  <conditionalFormatting sqref="Z123">
    <cfRule type="cellIs" dxfId="290" priority="962" operator="lessThan">
      <formula>0.1</formula>
    </cfRule>
  </conditionalFormatting>
  <conditionalFormatting sqref="E113">
    <cfRule type="cellIs" dxfId="289" priority="979" operator="lessThan">
      <formula>0.1</formula>
    </cfRule>
  </conditionalFormatting>
  <conditionalFormatting sqref="Y123">
    <cfRule type="cellIs" dxfId="288" priority="963" operator="lessThan">
      <formula>0.1</formula>
    </cfRule>
  </conditionalFormatting>
  <conditionalFormatting sqref="Z13">
    <cfRule type="cellIs" dxfId="287" priority="973" operator="lessThan">
      <formula>0.1</formula>
    </cfRule>
  </conditionalFormatting>
  <conditionalFormatting sqref="E13">
    <cfRule type="cellIs" dxfId="286" priority="974" operator="lessThan">
      <formula>0.1</formula>
    </cfRule>
  </conditionalFormatting>
  <conditionalFormatting sqref="Z121">
    <cfRule type="cellIs" dxfId="285" priority="966" operator="lessThan">
      <formula>0.1</formula>
    </cfRule>
  </conditionalFormatting>
  <conditionalFormatting sqref="Z45">
    <cfRule type="cellIs" dxfId="284" priority="951" operator="lessThan">
      <formula>0.1</formula>
    </cfRule>
  </conditionalFormatting>
  <conditionalFormatting sqref="F13 F27 F17">
    <cfRule type="cellIs" dxfId="283" priority="950" operator="lessThan">
      <formula>0.1</formula>
    </cfRule>
  </conditionalFormatting>
  <conditionalFormatting sqref="F35">
    <cfRule type="cellIs" dxfId="282" priority="947" operator="lessThan">
      <formula>0.1</formula>
    </cfRule>
  </conditionalFormatting>
  <conditionalFormatting sqref="F39">
    <cfRule type="cellIs" dxfId="281" priority="946" operator="lessThan">
      <formula>0.1</formula>
    </cfRule>
  </conditionalFormatting>
  <conditionalFormatting sqref="F41">
    <cfRule type="cellIs" dxfId="280" priority="945" operator="lessThan">
      <formula>0.1</formula>
    </cfRule>
  </conditionalFormatting>
  <conditionalFormatting sqref="F43">
    <cfRule type="cellIs" dxfId="279" priority="944" operator="lessThan">
      <formula>0.1</formula>
    </cfRule>
  </conditionalFormatting>
  <conditionalFormatting sqref="F45 F47 F63 F65">
    <cfRule type="cellIs" dxfId="278" priority="943" operator="lessThan">
      <formula>0.1</formula>
    </cfRule>
  </conditionalFormatting>
  <conditionalFormatting sqref="E21">
    <cfRule type="cellIs" dxfId="277" priority="937" operator="lessThan">
      <formula>0.1</formula>
    </cfRule>
  </conditionalFormatting>
  <conditionalFormatting sqref="F21">
    <cfRule type="cellIs" dxfId="276" priority="936" operator="lessThan">
      <formula>0.1</formula>
    </cfRule>
  </conditionalFormatting>
  <conditionalFormatting sqref="Z21">
    <cfRule type="cellIs" dxfId="275" priority="934" operator="lessThan">
      <formula>0.1</formula>
    </cfRule>
  </conditionalFormatting>
  <conditionalFormatting sqref="Y21">
    <cfRule type="cellIs" dxfId="274" priority="935" operator="lessThan">
      <formula>0.1</formula>
    </cfRule>
  </conditionalFormatting>
  <conditionalFormatting sqref="Z125">
    <cfRule type="cellIs" dxfId="273" priority="927" operator="lessThan">
      <formula>0.1</formula>
    </cfRule>
  </conditionalFormatting>
  <conditionalFormatting sqref="M110">
    <cfRule type="cellIs" dxfId="272" priority="931" operator="greaterThan">
      <formula>0</formula>
    </cfRule>
  </conditionalFormatting>
  <conditionalFormatting sqref="Y125">
    <cfRule type="cellIs" dxfId="271" priority="928" operator="lessThan">
      <formula>0.1</formula>
    </cfRule>
  </conditionalFormatting>
  <conditionalFormatting sqref="Z126">
    <cfRule type="cellIs" dxfId="270" priority="923" operator="lessThan">
      <formula>0.1</formula>
    </cfRule>
  </conditionalFormatting>
  <conditionalFormatting sqref="Y126">
    <cfRule type="cellIs" dxfId="269" priority="924" operator="lessThan">
      <formula>0.1</formula>
    </cfRule>
  </conditionalFormatting>
  <conditionalFormatting sqref="E73 E75">
    <cfRule type="cellIs" dxfId="268" priority="881" operator="lessThan">
      <formula>0.1</formula>
    </cfRule>
  </conditionalFormatting>
  <conditionalFormatting sqref="F129">
    <cfRule type="cellIs" dxfId="267" priority="878" operator="lessThan">
      <formula>0.1</formula>
    </cfRule>
  </conditionalFormatting>
  <conditionalFormatting sqref="E129">
    <cfRule type="cellIs" dxfId="266" priority="879" operator="lessThan">
      <formula>0.1</formula>
    </cfRule>
  </conditionalFormatting>
  <conditionalFormatting sqref="F73 F75">
    <cfRule type="cellIs" dxfId="265" priority="880" operator="lessThan">
      <formula>0.1</formula>
    </cfRule>
  </conditionalFormatting>
  <conditionalFormatting sqref="I14">
    <cfRule type="cellIs" dxfId="264" priority="883" operator="greaterThan">
      <formula>0</formula>
    </cfRule>
  </conditionalFormatting>
  <conditionalFormatting sqref="U16:W16">
    <cfRule type="cellIs" dxfId="263" priority="877" operator="greaterThan">
      <formula>0</formula>
    </cfRule>
  </conditionalFormatting>
  <conditionalFormatting sqref="R28">
    <cfRule type="cellIs" dxfId="262" priority="866" operator="greaterThan">
      <formula>0</formula>
    </cfRule>
  </conditionalFormatting>
  <conditionalFormatting sqref="R106">
    <cfRule type="cellIs" dxfId="261" priority="865" operator="greaterThan">
      <formula>0</formula>
    </cfRule>
  </conditionalFormatting>
  <conditionalFormatting sqref="Q106">
    <cfRule type="cellIs" dxfId="260" priority="864" operator="greaterThan">
      <formula>0</formula>
    </cfRule>
  </conditionalFormatting>
  <conditionalFormatting sqref="I54:P54 I52:P52 I50:S50 R52:S52 R54:S54 U54:X54 U52:X52 U50:X50">
    <cfRule type="cellIs" dxfId="259" priority="849" operator="greaterThan">
      <formula>0</formula>
    </cfRule>
  </conditionalFormatting>
  <conditionalFormatting sqref="Y53">
    <cfRule type="cellIs" dxfId="258" priority="848" operator="lessThan">
      <formula>0.1</formula>
    </cfRule>
  </conditionalFormatting>
  <conditionalFormatting sqref="Z53">
    <cfRule type="cellIs" dxfId="257" priority="847" operator="lessThan">
      <formula>0.1</formula>
    </cfRule>
  </conditionalFormatting>
  <conditionalFormatting sqref="Y49">
    <cfRule type="cellIs" dxfId="256" priority="844" operator="lessThan">
      <formula>0.1</formula>
    </cfRule>
  </conditionalFormatting>
  <conditionalFormatting sqref="Z49">
    <cfRule type="cellIs" dxfId="255" priority="843" operator="lessThan">
      <formula>0.1</formula>
    </cfRule>
  </conditionalFormatting>
  <conditionalFormatting sqref="Y51">
    <cfRule type="cellIs" dxfId="254" priority="841" operator="lessThan">
      <formula>0.1</formula>
    </cfRule>
  </conditionalFormatting>
  <conditionalFormatting sqref="Z51">
    <cfRule type="cellIs" dxfId="253" priority="840" operator="lessThan">
      <formula>0.1</formula>
    </cfRule>
  </conditionalFormatting>
  <conditionalFormatting sqref="E49 E51 E53">
    <cfRule type="cellIs" dxfId="252" priority="839" operator="lessThan">
      <formula>0.1</formula>
    </cfRule>
  </conditionalFormatting>
  <conditionalFormatting sqref="F49 F51 F53">
    <cfRule type="cellIs" dxfId="251" priority="838" operator="lessThan">
      <formula>0.1</formula>
    </cfRule>
  </conditionalFormatting>
  <conditionalFormatting sqref="I58:S58 I56:S56 U56:X56 U58:X58 U60:X60 I60:S60">
    <cfRule type="cellIs" dxfId="250" priority="837" operator="greaterThan">
      <formula>0</formula>
    </cfRule>
  </conditionalFormatting>
  <conditionalFormatting sqref="Y59">
    <cfRule type="cellIs" dxfId="249" priority="836" operator="lessThan">
      <formula>0.1</formula>
    </cfRule>
  </conditionalFormatting>
  <conditionalFormatting sqref="Z59">
    <cfRule type="cellIs" dxfId="248" priority="835" operator="lessThan">
      <formula>0.1</formula>
    </cfRule>
  </conditionalFormatting>
  <conditionalFormatting sqref="Y55">
    <cfRule type="cellIs" dxfId="247" priority="832" operator="lessThan">
      <formula>0.1</formula>
    </cfRule>
  </conditionalFormatting>
  <conditionalFormatting sqref="Z55">
    <cfRule type="cellIs" dxfId="246" priority="831" operator="lessThan">
      <formula>0.1</formula>
    </cfRule>
  </conditionalFormatting>
  <conditionalFormatting sqref="Y57">
    <cfRule type="cellIs" dxfId="245" priority="829" operator="lessThan">
      <formula>0.1</formula>
    </cfRule>
  </conditionalFormatting>
  <conditionalFormatting sqref="Z57">
    <cfRule type="cellIs" dxfId="244" priority="828" operator="lessThan">
      <formula>0.1</formula>
    </cfRule>
  </conditionalFormatting>
  <conditionalFormatting sqref="E55 E57 E59">
    <cfRule type="cellIs" dxfId="243" priority="827" operator="lessThan">
      <formula>0.1</formula>
    </cfRule>
  </conditionalFormatting>
  <conditionalFormatting sqref="F55 F57 F59">
    <cfRule type="cellIs" dxfId="242" priority="826" operator="lessThan">
      <formula>0.1</formula>
    </cfRule>
  </conditionalFormatting>
  <conditionalFormatting sqref="I38:X38">
    <cfRule type="cellIs" dxfId="241" priority="825" operator="greaterThan">
      <formula>0</formula>
    </cfRule>
  </conditionalFormatting>
  <conditionalFormatting sqref="Y37">
    <cfRule type="cellIs" dxfId="240" priority="824" operator="lessThan">
      <formula>0.1</formula>
    </cfRule>
  </conditionalFormatting>
  <conditionalFormatting sqref="Z37">
    <cfRule type="cellIs" dxfId="239" priority="823" operator="lessThan">
      <formula>0.1</formula>
    </cfRule>
  </conditionalFormatting>
  <conditionalFormatting sqref="E37">
    <cfRule type="cellIs" dxfId="238" priority="822" operator="lessThan">
      <formula>0.1</formula>
    </cfRule>
  </conditionalFormatting>
  <conditionalFormatting sqref="F37">
    <cfRule type="cellIs" dxfId="237" priority="820" operator="lessThan">
      <formula>0.1</formula>
    </cfRule>
  </conditionalFormatting>
  <conditionalFormatting sqref="O44">
    <cfRule type="cellIs" dxfId="236" priority="819" operator="greaterThan">
      <formula>0</formula>
    </cfRule>
  </conditionalFormatting>
  <conditionalFormatting sqref="Q52">
    <cfRule type="cellIs" dxfId="235" priority="818" operator="greaterThan">
      <formula>0</formula>
    </cfRule>
  </conditionalFormatting>
  <conditionalFormatting sqref="I68:X68">
    <cfRule type="cellIs" dxfId="234" priority="817" operator="greaterThan">
      <formula>0</formula>
    </cfRule>
  </conditionalFormatting>
  <conditionalFormatting sqref="Y67">
    <cfRule type="cellIs" dxfId="233" priority="816" operator="lessThan">
      <formula>0.1</formula>
    </cfRule>
  </conditionalFormatting>
  <conditionalFormatting sqref="Z67">
    <cfRule type="cellIs" dxfId="232" priority="815" operator="lessThan">
      <formula>0.1</formula>
    </cfRule>
  </conditionalFormatting>
  <conditionalFormatting sqref="E67">
    <cfRule type="cellIs" dxfId="231" priority="813" operator="lessThan">
      <formula>0.1</formula>
    </cfRule>
  </conditionalFormatting>
  <conditionalFormatting sqref="F67">
    <cfRule type="cellIs" dxfId="230" priority="812" operator="lessThan">
      <formula>0.1</formula>
    </cfRule>
  </conditionalFormatting>
  <conditionalFormatting sqref="I92:J92">
    <cfRule type="cellIs" dxfId="229" priority="793" operator="greaterThan">
      <formula>0</formula>
    </cfRule>
  </conditionalFormatting>
  <conditionalFormatting sqref="I110:L110">
    <cfRule type="cellIs" dxfId="228" priority="792" operator="greaterThan">
      <formula>0</formula>
    </cfRule>
  </conditionalFormatting>
  <conditionalFormatting sqref="F109 H109">
    <cfRule type="cellIs" dxfId="227" priority="790" operator="lessThan">
      <formula>0.1</formula>
    </cfRule>
  </conditionalFormatting>
  <conditionalFormatting sqref="E109">
    <cfRule type="cellIs" dxfId="226" priority="791" operator="lessThan">
      <formula>0.1</formula>
    </cfRule>
  </conditionalFormatting>
  <conditionalFormatting sqref="I98:L98">
    <cfRule type="cellIs" dxfId="225" priority="789" operator="greaterThan">
      <formula>0</formula>
    </cfRule>
  </conditionalFormatting>
  <conditionalFormatting sqref="F97 H97">
    <cfRule type="cellIs" dxfId="224" priority="787" operator="lessThan">
      <formula>0.1</formula>
    </cfRule>
  </conditionalFormatting>
  <conditionalFormatting sqref="E97">
    <cfRule type="cellIs" dxfId="223" priority="788" operator="lessThan">
      <formula>0.1</formula>
    </cfRule>
  </conditionalFormatting>
  <conditionalFormatting sqref="I96:L96">
    <cfRule type="cellIs" dxfId="222" priority="786" operator="greaterThan">
      <formula>0</formula>
    </cfRule>
  </conditionalFormatting>
  <conditionalFormatting sqref="F95 H95">
    <cfRule type="cellIs" dxfId="221" priority="784" operator="lessThan">
      <formula>0.1</formula>
    </cfRule>
  </conditionalFormatting>
  <conditionalFormatting sqref="E95">
    <cfRule type="cellIs" dxfId="220" priority="785" operator="lessThan">
      <formula>0.1</formula>
    </cfRule>
  </conditionalFormatting>
  <conditionalFormatting sqref="I100:X100 I102:X102">
    <cfRule type="cellIs" dxfId="219" priority="783" operator="greaterThan">
      <formula>0</formula>
    </cfRule>
  </conditionalFormatting>
  <conditionalFormatting sqref="Y99">
    <cfRule type="cellIs" dxfId="218" priority="780" operator="lessThan">
      <formula>0.1</formula>
    </cfRule>
  </conditionalFormatting>
  <conditionalFormatting sqref="F99 H99">
    <cfRule type="cellIs" dxfId="217" priority="781" operator="lessThan">
      <formula>0.1</formula>
    </cfRule>
  </conditionalFormatting>
  <conditionalFormatting sqref="Y101">
    <cfRule type="cellIs" dxfId="216" priority="776" operator="lessThan">
      <formula>0.1</formula>
    </cfRule>
  </conditionalFormatting>
  <conditionalFormatting sqref="F101 H101">
    <cfRule type="cellIs" dxfId="215" priority="777" operator="lessThan">
      <formula>0.1</formula>
    </cfRule>
  </conditionalFormatting>
  <conditionalFormatting sqref="Z101">
    <cfRule type="cellIs" dxfId="214" priority="775" operator="lessThan">
      <formula>0.1</formula>
    </cfRule>
  </conditionalFormatting>
  <conditionalFormatting sqref="E99">
    <cfRule type="cellIs" dxfId="213" priority="782" operator="lessThan">
      <formula>0.1</formula>
    </cfRule>
  </conditionalFormatting>
  <conditionalFormatting sqref="Z99">
    <cfRule type="cellIs" dxfId="212" priority="779" operator="lessThan">
      <formula>0.1</formula>
    </cfRule>
  </conditionalFormatting>
  <conditionalFormatting sqref="E101">
    <cfRule type="cellIs" dxfId="211" priority="778" operator="lessThan">
      <formula>0.1</formula>
    </cfRule>
  </conditionalFormatting>
  <conditionalFormatting sqref="I104:X104">
    <cfRule type="cellIs" dxfId="210" priority="774" operator="greaterThan">
      <formula>0</formula>
    </cfRule>
  </conditionalFormatting>
  <conditionalFormatting sqref="Y103">
    <cfRule type="cellIs" dxfId="209" priority="771" operator="lessThan">
      <formula>0.1</formula>
    </cfRule>
  </conditionalFormatting>
  <conditionalFormatting sqref="F103 H103">
    <cfRule type="cellIs" dxfId="208" priority="772" operator="lessThan">
      <formula>0.1</formula>
    </cfRule>
  </conditionalFormatting>
  <conditionalFormatting sqref="Z103">
    <cfRule type="cellIs" dxfId="207" priority="770" operator="lessThan">
      <formula>0.1</formula>
    </cfRule>
  </conditionalFormatting>
  <conditionalFormatting sqref="E103">
    <cfRule type="cellIs" dxfId="206" priority="773" operator="lessThan">
      <formula>0.1</formula>
    </cfRule>
  </conditionalFormatting>
  <conditionalFormatting sqref="I118:X118">
    <cfRule type="cellIs" dxfId="205" priority="769" operator="greaterThan">
      <formula>0</formula>
    </cfRule>
  </conditionalFormatting>
  <conditionalFormatting sqref="Y117">
    <cfRule type="cellIs" dxfId="204" priority="766" operator="lessThan">
      <formula>0.1</formula>
    </cfRule>
  </conditionalFormatting>
  <conditionalFormatting sqref="F117 H117">
    <cfRule type="cellIs" dxfId="203" priority="767" operator="lessThan">
      <formula>0.1</formula>
    </cfRule>
  </conditionalFormatting>
  <conditionalFormatting sqref="Z117">
    <cfRule type="cellIs" dxfId="202" priority="765" operator="lessThan">
      <formula>0.1</formula>
    </cfRule>
  </conditionalFormatting>
  <conditionalFormatting sqref="E117">
    <cfRule type="cellIs" dxfId="201" priority="768" operator="lessThan">
      <formula>0.1</formula>
    </cfRule>
  </conditionalFormatting>
  <conditionalFormatting sqref="E15">
    <cfRule type="cellIs" dxfId="200" priority="764" operator="lessThan">
      <formula>0.1</formula>
    </cfRule>
  </conditionalFormatting>
  <conditionalFormatting sqref="F15">
    <cfRule type="cellIs" dxfId="199" priority="762" operator="lessThan">
      <formula>0.1</formula>
    </cfRule>
  </conditionalFormatting>
  <conditionalFormatting sqref="Z15 Z17">
    <cfRule type="cellIs" dxfId="198" priority="760" operator="lessThan">
      <formula>0.1</formula>
    </cfRule>
  </conditionalFormatting>
  <conditionalFormatting sqref="Y15 Y17">
    <cfRule type="cellIs" dxfId="197" priority="761" operator="lessThan">
      <formula>0.1</formula>
    </cfRule>
  </conditionalFormatting>
  <conditionalFormatting sqref="N98">
    <cfRule type="cellIs" dxfId="196" priority="759" operator="greaterThan">
      <formula>0</formula>
    </cfRule>
  </conditionalFormatting>
  <conditionalFormatting sqref="M98">
    <cfRule type="cellIs" dxfId="195" priority="758" operator="greaterThan">
      <formula>0</formula>
    </cfRule>
  </conditionalFormatting>
  <conditionalFormatting sqref="M112">
    <cfRule type="cellIs" dxfId="194" priority="757" operator="greaterThan">
      <formula>0</formula>
    </cfRule>
  </conditionalFormatting>
  <conditionalFormatting sqref="M92">
    <cfRule type="cellIs" dxfId="193" priority="756" operator="greaterThan">
      <formula>0</formula>
    </cfRule>
  </conditionalFormatting>
  <conditionalFormatting sqref="P42">
    <cfRule type="cellIs" dxfId="192" priority="755" operator="greaterThan">
      <formula>0</formula>
    </cfRule>
  </conditionalFormatting>
  <conditionalFormatting sqref="P44">
    <cfRule type="cellIs" dxfId="191" priority="754" operator="greaterThan">
      <formula>0</formula>
    </cfRule>
  </conditionalFormatting>
  <conditionalFormatting sqref="Q54">
    <cfRule type="cellIs" dxfId="190" priority="753" operator="greaterThan">
      <formula>0</formula>
    </cfRule>
  </conditionalFormatting>
  <conditionalFormatting sqref="I62:Q62 S62 U62:X62">
    <cfRule type="cellIs" dxfId="189" priority="751" operator="greaterThan">
      <formula>0</formula>
    </cfRule>
  </conditionalFormatting>
  <conditionalFormatting sqref="Z61">
    <cfRule type="cellIs" dxfId="188" priority="749" operator="lessThan">
      <formula>0.1</formula>
    </cfRule>
  </conditionalFormatting>
  <conditionalFormatting sqref="Y61">
    <cfRule type="cellIs" dxfId="187" priority="750" operator="lessThan">
      <formula>0.1</formula>
    </cfRule>
  </conditionalFormatting>
  <conditionalFormatting sqref="E61">
    <cfRule type="cellIs" dxfId="186" priority="748" operator="lessThan">
      <formula>0.1</formula>
    </cfRule>
  </conditionalFormatting>
  <conditionalFormatting sqref="F61">
    <cfRule type="cellIs" dxfId="185" priority="747" operator="lessThan">
      <formula>0.1</formula>
    </cfRule>
  </conditionalFormatting>
  <conditionalFormatting sqref="P80:X80">
    <cfRule type="cellIs" dxfId="184" priority="745" operator="greaterThan">
      <formula>0</formula>
    </cfRule>
  </conditionalFormatting>
  <conditionalFormatting sqref="Z79">
    <cfRule type="cellIs" dxfId="183" priority="743" operator="lessThan">
      <formula>0.1</formula>
    </cfRule>
  </conditionalFormatting>
  <conditionalFormatting sqref="Y79">
    <cfRule type="cellIs" dxfId="182" priority="744" operator="lessThan">
      <formula>0.1</formula>
    </cfRule>
  </conditionalFormatting>
  <conditionalFormatting sqref="E79">
    <cfRule type="cellIs" dxfId="181" priority="742" operator="lessThan">
      <formula>0.1</formula>
    </cfRule>
  </conditionalFormatting>
  <conditionalFormatting sqref="F79">
    <cfRule type="cellIs" dxfId="180" priority="741" operator="lessThan">
      <formula>0.1</formula>
    </cfRule>
  </conditionalFormatting>
  <conditionalFormatting sqref="I82:N82 P82:X82">
    <cfRule type="cellIs" dxfId="179" priority="740" operator="greaterThan">
      <formula>0</formula>
    </cfRule>
  </conditionalFormatting>
  <conditionalFormatting sqref="Z81">
    <cfRule type="cellIs" dxfId="178" priority="738" operator="lessThan">
      <formula>0.1</formula>
    </cfRule>
  </conditionalFormatting>
  <conditionalFormatting sqref="Y81">
    <cfRule type="cellIs" dxfId="177" priority="739" operator="lessThan">
      <formula>0.1</formula>
    </cfRule>
  </conditionalFormatting>
  <conditionalFormatting sqref="E81">
    <cfRule type="cellIs" dxfId="176" priority="737" operator="lessThan">
      <formula>0.1</formula>
    </cfRule>
  </conditionalFormatting>
  <conditionalFormatting sqref="F81">
    <cfRule type="cellIs" dxfId="175" priority="736" operator="lessThan">
      <formula>0.1</formula>
    </cfRule>
  </conditionalFormatting>
  <conditionalFormatting sqref="I84:N84 P84:X84">
    <cfRule type="cellIs" dxfId="174" priority="735" operator="greaterThan">
      <formula>0</formula>
    </cfRule>
  </conditionalFormatting>
  <conditionalFormatting sqref="Z83">
    <cfRule type="cellIs" dxfId="173" priority="733" operator="lessThan">
      <formula>0.1</formula>
    </cfRule>
  </conditionalFormatting>
  <conditionalFormatting sqref="Y83">
    <cfRule type="cellIs" dxfId="172" priority="734" operator="lessThan">
      <formula>0.1</formula>
    </cfRule>
  </conditionalFormatting>
  <conditionalFormatting sqref="E83">
    <cfRule type="cellIs" dxfId="171" priority="732" operator="lessThan">
      <formula>0.1</formula>
    </cfRule>
  </conditionalFormatting>
  <conditionalFormatting sqref="F83">
    <cfRule type="cellIs" dxfId="170" priority="731" operator="lessThan">
      <formula>0.1</formula>
    </cfRule>
  </conditionalFormatting>
  <conditionalFormatting sqref="Z85">
    <cfRule type="cellIs" dxfId="169" priority="728" operator="lessThan">
      <formula>0.1</formula>
    </cfRule>
  </conditionalFormatting>
  <conditionalFormatting sqref="Y85">
    <cfRule type="cellIs" dxfId="168" priority="729" operator="lessThan">
      <formula>0.1</formula>
    </cfRule>
  </conditionalFormatting>
  <conditionalFormatting sqref="O82">
    <cfRule type="cellIs" dxfId="167" priority="720" operator="greaterThan">
      <formula>0</formula>
    </cfRule>
  </conditionalFormatting>
  <conditionalFormatting sqref="O80">
    <cfRule type="cellIs" dxfId="166" priority="721" operator="greaterThan">
      <formula>0</formula>
    </cfRule>
  </conditionalFormatting>
  <conditionalFormatting sqref="O84">
    <cfRule type="cellIs" dxfId="165" priority="719" operator="greaterThan">
      <formula>0</formula>
    </cfRule>
  </conditionalFormatting>
  <conditionalFormatting sqref="R62">
    <cfRule type="cellIs" dxfId="164" priority="717" operator="greaterThan">
      <formula>0</formula>
    </cfRule>
  </conditionalFormatting>
  <conditionalFormatting sqref="I78:N78 P78:X78">
    <cfRule type="cellIs" dxfId="163" priority="703" operator="greaterThan">
      <formula>0</formula>
    </cfRule>
  </conditionalFormatting>
  <conditionalFormatting sqref="Z77">
    <cfRule type="cellIs" dxfId="162" priority="701" operator="lessThan">
      <formula>0.1</formula>
    </cfRule>
  </conditionalFormatting>
  <conditionalFormatting sqref="Y77">
    <cfRule type="cellIs" dxfId="161" priority="702" operator="lessThan">
      <formula>0.1</formula>
    </cfRule>
  </conditionalFormatting>
  <conditionalFormatting sqref="E77">
    <cfRule type="cellIs" dxfId="160" priority="700" operator="lessThan">
      <formula>0.1</formula>
    </cfRule>
  </conditionalFormatting>
  <conditionalFormatting sqref="F77">
    <cfRule type="cellIs" dxfId="159" priority="699" operator="lessThan">
      <formula>0.1</formula>
    </cfRule>
  </conditionalFormatting>
  <conditionalFormatting sqref="O78">
    <cfRule type="cellIs" dxfId="158" priority="698" operator="greaterThan">
      <formula>0</formula>
    </cfRule>
  </conditionalFormatting>
  <conditionalFormatting sqref="E121">
    <cfRule type="cellIs" dxfId="157" priority="685" operator="lessThan">
      <formula>0.1</formula>
    </cfRule>
  </conditionalFormatting>
  <conditionalFormatting sqref="F121">
    <cfRule type="cellIs" dxfId="156" priority="684" operator="lessThan">
      <formula>0.1</formula>
    </cfRule>
  </conditionalFormatting>
  <conditionalFormatting sqref="I116:X116">
    <cfRule type="cellIs" dxfId="155" priority="678" operator="greaterThan">
      <formula>0</formula>
    </cfRule>
  </conditionalFormatting>
  <conditionalFormatting sqref="F115 H115">
    <cfRule type="cellIs" dxfId="154" priority="676" operator="lessThan">
      <formula>0.1</formula>
    </cfRule>
  </conditionalFormatting>
  <conditionalFormatting sqref="E115">
    <cfRule type="cellIs" dxfId="153" priority="677" operator="lessThan">
      <formula>0.1</formula>
    </cfRule>
  </conditionalFormatting>
  <conditionalFormatting sqref="I20:X20">
    <cfRule type="cellIs" dxfId="152" priority="672" operator="greaterThan">
      <formula>0</formula>
    </cfRule>
  </conditionalFormatting>
  <conditionalFormatting sqref="E19">
    <cfRule type="cellIs" dxfId="151" priority="673" operator="lessThan">
      <formula>0.1</formula>
    </cfRule>
  </conditionalFormatting>
  <conditionalFormatting sqref="Y19">
    <cfRule type="cellIs" dxfId="150" priority="670" operator="lessThan">
      <formula>0.1</formula>
    </cfRule>
  </conditionalFormatting>
  <conditionalFormatting sqref="Z19">
    <cfRule type="cellIs" dxfId="149" priority="669" operator="lessThan">
      <formula>0.1</formula>
    </cfRule>
  </conditionalFormatting>
  <conditionalFormatting sqref="F19">
    <cfRule type="cellIs" dxfId="148" priority="668" operator="lessThan">
      <formula>0.1</formula>
    </cfRule>
  </conditionalFormatting>
  <conditionalFormatting sqref="T50 T52 T54">
    <cfRule type="cellIs" dxfId="147" priority="667" operator="greaterThan">
      <formula>0</formula>
    </cfRule>
  </conditionalFormatting>
  <conditionalFormatting sqref="T60 T58 T56">
    <cfRule type="cellIs" dxfId="146" priority="666" operator="greaterThan">
      <formula>0</formula>
    </cfRule>
  </conditionalFormatting>
  <conditionalFormatting sqref="T62">
    <cfRule type="cellIs" dxfId="145" priority="665" operator="greaterThan">
      <formula>0</formula>
    </cfRule>
  </conditionalFormatting>
  <conditionalFormatting sqref="I70:X70">
    <cfRule type="cellIs" dxfId="144" priority="664" operator="greaterThan">
      <formula>0</formula>
    </cfRule>
  </conditionalFormatting>
  <conditionalFormatting sqref="Y69">
    <cfRule type="cellIs" dxfId="143" priority="663" operator="lessThan">
      <formula>0.1</formula>
    </cfRule>
  </conditionalFormatting>
  <conditionalFormatting sqref="Z69">
    <cfRule type="cellIs" dxfId="142" priority="662" operator="lessThan">
      <formula>0.1</formula>
    </cfRule>
  </conditionalFormatting>
  <conditionalFormatting sqref="E69">
    <cfRule type="cellIs" dxfId="141" priority="660" operator="lessThan">
      <formula>0.1</formula>
    </cfRule>
  </conditionalFormatting>
  <conditionalFormatting sqref="F69">
    <cfRule type="cellIs" dxfId="140" priority="659" operator="lessThan">
      <formula>0.1</formula>
    </cfRule>
  </conditionalFormatting>
  <conditionalFormatting sqref="I26:J26 N26:X26">
    <cfRule type="cellIs" dxfId="139" priority="575" operator="greaterThan">
      <formula>0</formula>
    </cfRule>
  </conditionalFormatting>
  <conditionalFormatting sqref="Y25">
    <cfRule type="cellIs" dxfId="138" priority="573" operator="lessThan">
      <formula>0.1</formula>
    </cfRule>
  </conditionalFormatting>
  <conditionalFormatting sqref="Z25">
    <cfRule type="cellIs" dxfId="137" priority="572" operator="lessThan">
      <formula>0.1</formula>
    </cfRule>
  </conditionalFormatting>
  <conditionalFormatting sqref="E25">
    <cfRule type="cellIs" dxfId="136" priority="571" operator="lessThan">
      <formula>0.1</formula>
    </cfRule>
  </conditionalFormatting>
  <conditionalFormatting sqref="F25">
    <cfRule type="cellIs" dxfId="135" priority="570" operator="lessThan">
      <formula>0.1</formula>
    </cfRule>
  </conditionalFormatting>
  <conditionalFormatting sqref="K26:M26">
    <cfRule type="cellIs" dxfId="134" priority="569" operator="greaterThan">
      <formula>0</formula>
    </cfRule>
  </conditionalFormatting>
  <conditionalFormatting sqref="G89">
    <cfRule type="cellIs" dxfId="133" priority="498" operator="lessThan">
      <formula>0.1</formula>
    </cfRule>
  </conditionalFormatting>
  <conditionalFormatting sqref="G91">
    <cfRule type="cellIs" dxfId="132" priority="497" operator="lessThan">
      <formula>0.1</formula>
    </cfRule>
  </conditionalFormatting>
  <conditionalFormatting sqref="G93">
    <cfRule type="cellIs" dxfId="131" priority="496" operator="lessThan">
      <formula>0.1</formula>
    </cfRule>
  </conditionalFormatting>
  <conditionalFormatting sqref="G95">
    <cfRule type="cellIs" dxfId="130" priority="495" operator="lessThan">
      <formula>0.1</formula>
    </cfRule>
  </conditionalFormatting>
  <conditionalFormatting sqref="G97">
    <cfRule type="cellIs" dxfId="129" priority="494" operator="lessThan">
      <formula>0.1</formula>
    </cfRule>
  </conditionalFormatting>
  <conditionalFormatting sqref="G99">
    <cfRule type="cellIs" dxfId="128" priority="493" operator="lessThan">
      <formula>0.1</formula>
    </cfRule>
  </conditionalFormatting>
  <conditionalFormatting sqref="G101">
    <cfRule type="cellIs" dxfId="127" priority="492" operator="lessThan">
      <formula>0.1</formula>
    </cfRule>
  </conditionalFormatting>
  <conditionalFormatting sqref="G103">
    <cfRule type="cellIs" dxfId="126" priority="491" operator="lessThan">
      <formula>0.1</formula>
    </cfRule>
  </conditionalFormatting>
  <conditionalFormatting sqref="G105">
    <cfRule type="cellIs" dxfId="125" priority="490" operator="lessThan">
      <formula>0.1</formula>
    </cfRule>
  </conditionalFormatting>
  <conditionalFormatting sqref="G107">
    <cfRule type="cellIs" dxfId="124" priority="489" operator="lessThan">
      <formula>0.1</formula>
    </cfRule>
  </conditionalFormatting>
  <conditionalFormatting sqref="G109">
    <cfRule type="cellIs" dxfId="123" priority="488" operator="lessThan">
      <formula>0.1</formula>
    </cfRule>
  </conditionalFormatting>
  <conditionalFormatting sqref="G111">
    <cfRule type="cellIs" dxfId="122" priority="487" operator="lessThan">
      <formula>0.1</formula>
    </cfRule>
  </conditionalFormatting>
  <conditionalFormatting sqref="G113">
    <cfRule type="cellIs" dxfId="121" priority="486" operator="lessThan">
      <formula>0.1</formula>
    </cfRule>
  </conditionalFormatting>
  <conditionalFormatting sqref="G115">
    <cfRule type="cellIs" dxfId="120" priority="485" operator="lessThan">
      <formula>0.1</formula>
    </cfRule>
  </conditionalFormatting>
  <conditionalFormatting sqref="G117">
    <cfRule type="cellIs" dxfId="119" priority="484" operator="lessThan">
      <formula>0.1</formula>
    </cfRule>
  </conditionalFormatting>
  <conditionalFormatting sqref="H13 H15 H17 H19 H21 H25 H27">
    <cfRule type="cellIs" dxfId="118" priority="470" operator="lessThan">
      <formula>0.1</formula>
    </cfRule>
  </conditionalFormatting>
  <conditionalFormatting sqref="H77 H79 H81 H83 H73 H75">
    <cfRule type="cellIs" dxfId="117" priority="469" operator="lessThan">
      <formula>0.1</formula>
    </cfRule>
  </conditionalFormatting>
  <conditionalFormatting sqref="G35 G37 G39 G41 G43 G45 G47 G49 G51 G53 G55 G57 G59 G61 G63 G65 G67 G69">
    <cfRule type="cellIs" dxfId="116" priority="453" operator="lessThan">
      <formula>0.1</formula>
    </cfRule>
  </conditionalFormatting>
  <conditionalFormatting sqref="G13 G15 G17 G19 G21 G25 G27">
    <cfRule type="cellIs" dxfId="115" priority="452" operator="lessThan">
      <formula>0.1</formula>
    </cfRule>
  </conditionalFormatting>
  <conditionalFormatting sqref="G77 G79 G81 G83 G73 G75">
    <cfRule type="cellIs" dxfId="114" priority="451" operator="lessThan">
      <formula>0.1</formula>
    </cfRule>
  </conditionalFormatting>
  <conditionalFormatting sqref="G121">
    <cfRule type="cellIs" dxfId="113" priority="450" operator="lessThan">
      <formula>0.1</formula>
    </cfRule>
  </conditionalFormatting>
  <conditionalFormatting sqref="G129">
    <cfRule type="cellIs" dxfId="112" priority="449" operator="lessThan">
      <formula>0.1</formula>
    </cfRule>
  </conditionalFormatting>
  <conditionalFormatting sqref="E29">
    <cfRule type="cellIs" dxfId="111" priority="406" operator="lessThan">
      <formula>0.1</formula>
    </cfRule>
  </conditionalFormatting>
  <conditionalFormatting sqref="F29">
    <cfRule type="cellIs" dxfId="110" priority="405" operator="lessThan">
      <formula>0.1</formula>
    </cfRule>
  </conditionalFormatting>
  <conditionalFormatting sqref="H29">
    <cfRule type="cellIs" dxfId="109" priority="404" operator="lessThan">
      <formula>0.1</formula>
    </cfRule>
  </conditionalFormatting>
  <conditionalFormatting sqref="G29">
    <cfRule type="cellIs" dxfId="108" priority="403" operator="lessThan">
      <formula>0.1</formula>
    </cfRule>
  </conditionalFormatting>
  <conditionalFormatting sqref="E85">
    <cfRule type="cellIs" dxfId="107" priority="364" operator="lessThan">
      <formula>0.1</formula>
    </cfRule>
  </conditionalFormatting>
  <conditionalFormatting sqref="F85">
    <cfRule type="cellIs" dxfId="106" priority="363" operator="lessThan">
      <formula>0.1</formula>
    </cfRule>
  </conditionalFormatting>
  <conditionalFormatting sqref="H85">
    <cfRule type="cellIs" dxfId="105" priority="362" operator="lessThan">
      <formula>0.1</formula>
    </cfRule>
  </conditionalFormatting>
  <conditionalFormatting sqref="G85">
    <cfRule type="cellIs" dxfId="104" priority="361" operator="lessThan">
      <formula>0.1</formula>
    </cfRule>
  </conditionalFormatting>
  <conditionalFormatting sqref="E123 E125">
    <cfRule type="cellIs" dxfId="103" priority="356" operator="lessThan">
      <formula>0.1</formula>
    </cfRule>
  </conditionalFormatting>
  <conditionalFormatting sqref="F123 F125">
    <cfRule type="cellIs" dxfId="102" priority="355" operator="lessThan">
      <formula>0.1</formula>
    </cfRule>
  </conditionalFormatting>
  <conditionalFormatting sqref="G123 G125">
    <cfRule type="cellIs" dxfId="101" priority="354" operator="lessThan">
      <formula>0.1</formula>
    </cfRule>
  </conditionalFormatting>
  <conditionalFormatting sqref="H129">
    <cfRule type="cellIs" dxfId="100" priority="353" operator="lessThan">
      <formula>0.1</formula>
    </cfRule>
  </conditionalFormatting>
  <conditionalFormatting sqref="F131 F133 F135 F137">
    <cfRule type="cellIs" dxfId="99" priority="351" operator="lessThan">
      <formula>0.1</formula>
    </cfRule>
  </conditionalFormatting>
  <conditionalFormatting sqref="E131 E133 E135 E137">
    <cfRule type="cellIs" dxfId="98" priority="352" operator="lessThan">
      <formula>0.1</formula>
    </cfRule>
  </conditionalFormatting>
  <conditionalFormatting sqref="G131 G133 G135 G137">
    <cfRule type="cellIs" dxfId="97" priority="350" operator="lessThan">
      <formula>0.1</formula>
    </cfRule>
  </conditionalFormatting>
  <conditionalFormatting sqref="H131 H133 H135 H137">
    <cfRule type="cellIs" dxfId="96" priority="349" operator="lessThan">
      <formula>0.1</formula>
    </cfRule>
  </conditionalFormatting>
  <conditionalFormatting sqref="J126:X126 J122:X122 J124:X124">
    <cfRule type="cellIs" dxfId="95" priority="348" operator="greaterThan">
      <formula>0</formula>
    </cfRule>
  </conditionalFormatting>
  <conditionalFormatting sqref="J130:X130 J132:X132 J134:X134 J136:X136 J138:X138">
    <cfRule type="cellIs" dxfId="94" priority="347" operator="greaterThan">
      <formula>0</formula>
    </cfRule>
  </conditionalFormatting>
  <conditionalFormatting sqref="O92">
    <cfRule type="cellIs" dxfId="93" priority="1" operator="greaterThan">
      <formula>0</formula>
    </cfRule>
  </conditionalFormatting>
  <pageMargins left="0.7" right="0.7" top="0.75" bottom="0.75" header="0.3" footer="0.3"/>
  <pageSetup orientation="portrait" r:id="rId1"/>
  <ignoredErrors>
    <ignoredError sqref="N10 P10 R10 T10 V10" 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BCB3-7271-4375-BE87-7B46021A0914}">
  <sheetPr codeName="Hoja3"/>
  <dimension ref="A1:AL44"/>
  <sheetViews>
    <sheetView workbookViewId="0">
      <selection activeCell="Q43" sqref="Q43"/>
    </sheetView>
  </sheetViews>
  <sheetFormatPr baseColWidth="10" defaultColWidth="11.5" defaultRowHeight="15" x14ac:dyDescent="0.2"/>
  <cols>
    <col min="9" max="9" width="34.5" customWidth="1"/>
  </cols>
  <sheetData>
    <row r="1" spans="1:38" x14ac:dyDescent="0.2">
      <c r="A1" s="24" t="s">
        <v>118</v>
      </c>
      <c r="B1" s="24" t="s">
        <v>119</v>
      </c>
      <c r="C1" s="24" t="s">
        <v>120</v>
      </c>
      <c r="D1" s="24"/>
      <c r="E1" s="24" t="s">
        <v>121</v>
      </c>
      <c r="F1" s="24" t="s">
        <v>122</v>
      </c>
      <c r="G1" s="24" t="s">
        <v>123</v>
      </c>
      <c r="H1" s="24" t="s">
        <v>124</v>
      </c>
      <c r="I1" s="24" t="s">
        <v>125</v>
      </c>
      <c r="J1" s="25" t="s">
        <v>126</v>
      </c>
      <c r="K1" s="24" t="s">
        <v>127</v>
      </c>
      <c r="L1" s="24" t="s">
        <v>128</v>
      </c>
      <c r="M1" s="24" t="s">
        <v>129</v>
      </c>
      <c r="N1" s="24" t="s">
        <v>130</v>
      </c>
      <c r="O1" s="61" t="s">
        <v>131</v>
      </c>
      <c r="P1" s="61" t="s">
        <v>132</v>
      </c>
      <c r="Q1" s="61" t="s">
        <v>133</v>
      </c>
      <c r="R1" s="61" t="s">
        <v>134</v>
      </c>
      <c r="S1" s="61" t="s">
        <v>135</v>
      </c>
      <c r="T1" s="61" t="s">
        <v>136</v>
      </c>
      <c r="U1" s="61" t="s">
        <v>137</v>
      </c>
      <c r="V1" s="61" t="s">
        <v>138</v>
      </c>
      <c r="W1" s="61" t="s">
        <v>139</v>
      </c>
      <c r="X1" s="61" t="s">
        <v>140</v>
      </c>
      <c r="Y1" s="61" t="s">
        <v>141</v>
      </c>
      <c r="Z1" s="61" t="s">
        <v>142</v>
      </c>
      <c r="AA1" s="61" t="s">
        <v>131</v>
      </c>
      <c r="AB1" s="61" t="s">
        <v>132</v>
      </c>
      <c r="AC1" s="61" t="s">
        <v>133</v>
      </c>
      <c r="AD1" s="61" t="s">
        <v>134</v>
      </c>
    </row>
    <row r="2" spans="1:38" ht="16" x14ac:dyDescent="0.2">
      <c r="A2" s="81" t="s">
        <v>143</v>
      </c>
      <c r="B2" s="81" t="s">
        <v>144</v>
      </c>
      <c r="C2" s="82" t="s">
        <v>145</v>
      </c>
      <c r="D2" s="81"/>
      <c r="E2" s="81" t="s">
        <v>146</v>
      </c>
      <c r="F2" s="81" t="s">
        <v>26</v>
      </c>
      <c r="G2" s="81" t="s">
        <v>27</v>
      </c>
      <c r="H2" s="81" t="s">
        <v>147</v>
      </c>
      <c r="I2" s="81" t="s">
        <v>148</v>
      </c>
      <c r="J2" s="81">
        <v>4000</v>
      </c>
      <c r="K2" s="81" t="s">
        <v>149</v>
      </c>
      <c r="L2" s="81">
        <v>5753</v>
      </c>
      <c r="M2" s="81">
        <v>0</v>
      </c>
      <c r="N2" s="83">
        <v>0</v>
      </c>
      <c r="O2" s="84"/>
      <c r="P2" s="85"/>
      <c r="Q2" s="86"/>
      <c r="R2" s="86"/>
      <c r="S2" s="84"/>
      <c r="T2" s="85"/>
      <c r="U2" s="84"/>
      <c r="V2" s="85"/>
      <c r="W2" s="84"/>
      <c r="X2" s="87"/>
      <c r="Y2" s="84"/>
      <c r="Z2" s="85">
        <v>500</v>
      </c>
      <c r="AA2" s="84"/>
      <c r="AB2" s="85">
        <v>1600</v>
      </c>
      <c r="AC2" s="86"/>
      <c r="AD2" s="88"/>
      <c r="AE2" s="86"/>
      <c r="AF2" s="88"/>
      <c r="AG2" s="76"/>
      <c r="AH2" s="76"/>
      <c r="AI2" s="76"/>
      <c r="AJ2" s="76"/>
      <c r="AK2" s="76"/>
      <c r="AL2" s="76"/>
    </row>
    <row r="3" spans="1:38" ht="16" x14ac:dyDescent="0.2">
      <c r="A3" s="81" t="s">
        <v>143</v>
      </c>
      <c r="B3" s="81" t="s">
        <v>144</v>
      </c>
      <c r="C3" s="82" t="s">
        <v>145</v>
      </c>
      <c r="D3" s="89"/>
      <c r="E3" s="81" t="s">
        <v>150</v>
      </c>
      <c r="F3" s="81" t="s">
        <v>151</v>
      </c>
      <c r="G3" s="81" t="s">
        <v>152</v>
      </c>
      <c r="H3" s="81" t="s">
        <v>147</v>
      </c>
      <c r="I3" s="81" t="s">
        <v>153</v>
      </c>
      <c r="J3" s="81">
        <v>632</v>
      </c>
      <c r="K3" s="81" t="s">
        <v>149</v>
      </c>
      <c r="L3" s="81">
        <v>2748</v>
      </c>
      <c r="M3" s="81" t="s">
        <v>154</v>
      </c>
      <c r="N3" s="83">
        <v>0</v>
      </c>
      <c r="O3" s="84"/>
      <c r="P3" s="85"/>
      <c r="Q3" s="86"/>
      <c r="R3" s="86"/>
      <c r="S3" s="84"/>
      <c r="T3" s="85"/>
      <c r="U3" s="84"/>
      <c r="V3" s="85"/>
      <c r="W3" s="84"/>
      <c r="X3" s="87"/>
      <c r="Y3" s="84"/>
      <c r="Z3" s="85"/>
      <c r="AA3" s="84"/>
      <c r="AB3" s="85"/>
      <c r="AC3" s="86"/>
      <c r="AD3" s="88"/>
      <c r="AE3" s="86"/>
      <c r="AF3" s="88"/>
      <c r="AG3" s="76"/>
      <c r="AH3" s="76"/>
      <c r="AI3" s="76"/>
      <c r="AJ3" s="76"/>
      <c r="AK3" s="76"/>
      <c r="AL3" s="76"/>
    </row>
    <row r="4" spans="1:38" ht="16" x14ac:dyDescent="0.2">
      <c r="A4" s="81" t="s">
        <v>143</v>
      </c>
      <c r="B4" s="81" t="s">
        <v>144</v>
      </c>
      <c r="C4" s="82" t="s">
        <v>145</v>
      </c>
      <c r="D4" s="89"/>
      <c r="E4" s="81" t="s">
        <v>146</v>
      </c>
      <c r="F4" s="81" t="s">
        <v>29</v>
      </c>
      <c r="G4" s="81" t="s">
        <v>30</v>
      </c>
      <c r="H4" s="81" t="s">
        <v>147</v>
      </c>
      <c r="I4" s="81" t="s">
        <v>155</v>
      </c>
      <c r="J4" s="81">
        <v>2000</v>
      </c>
      <c r="K4" s="81" t="s">
        <v>149</v>
      </c>
      <c r="L4" s="81">
        <v>14573</v>
      </c>
      <c r="M4" s="81">
        <v>0</v>
      </c>
      <c r="N4" s="83">
        <v>0</v>
      </c>
      <c r="O4" s="84"/>
      <c r="P4" s="85">
        <v>400</v>
      </c>
      <c r="Q4" s="86"/>
      <c r="R4" s="86"/>
      <c r="S4" s="84"/>
      <c r="T4" s="85"/>
      <c r="U4" s="84"/>
      <c r="V4" s="85"/>
      <c r="W4" s="84"/>
      <c r="X4" s="87"/>
      <c r="Y4" s="84"/>
      <c r="Z4" s="85"/>
      <c r="AA4" s="84"/>
      <c r="AB4" s="85"/>
      <c r="AC4" s="86"/>
      <c r="AD4" s="88"/>
      <c r="AE4" s="86"/>
      <c r="AF4" s="88"/>
      <c r="AG4" s="76"/>
      <c r="AH4" s="76"/>
      <c r="AI4" s="76"/>
      <c r="AJ4" s="76"/>
      <c r="AK4" s="76"/>
      <c r="AL4" s="76"/>
    </row>
    <row r="5" spans="1:38" ht="16" x14ac:dyDescent="0.2">
      <c r="A5" s="81" t="s">
        <v>143</v>
      </c>
      <c r="B5" s="81" t="s">
        <v>144</v>
      </c>
      <c r="C5" s="82" t="s">
        <v>145</v>
      </c>
      <c r="D5" s="89"/>
      <c r="E5" s="81" t="s">
        <v>146</v>
      </c>
      <c r="F5" s="81" t="s">
        <v>31</v>
      </c>
      <c r="G5" s="81" t="s">
        <v>32</v>
      </c>
      <c r="H5" s="81" t="s">
        <v>156</v>
      </c>
      <c r="I5" s="81" t="s">
        <v>157</v>
      </c>
      <c r="J5" s="81">
        <v>215</v>
      </c>
      <c r="K5" s="81" t="s">
        <v>149</v>
      </c>
      <c r="L5" s="81">
        <v>8</v>
      </c>
      <c r="M5" s="81" t="s">
        <v>33</v>
      </c>
      <c r="N5" s="83">
        <v>-215</v>
      </c>
      <c r="O5" s="84"/>
      <c r="P5" s="85"/>
      <c r="Q5" s="86"/>
      <c r="R5" s="86"/>
      <c r="S5" s="84"/>
      <c r="T5" s="85"/>
      <c r="U5" s="84"/>
      <c r="V5" s="85"/>
      <c r="W5" s="84"/>
      <c r="X5" s="87"/>
      <c r="Y5" s="84"/>
      <c r="Z5" s="85"/>
      <c r="AA5" s="84"/>
      <c r="AB5" s="85"/>
      <c r="AC5" s="86"/>
      <c r="AD5" s="88"/>
      <c r="AE5" s="86"/>
      <c r="AF5" s="88"/>
      <c r="AG5" s="76"/>
      <c r="AH5" s="76"/>
      <c r="AI5" s="76"/>
      <c r="AJ5" s="76"/>
      <c r="AK5" s="76"/>
      <c r="AL5" s="76"/>
    </row>
    <row r="6" spans="1:38" ht="16" x14ac:dyDescent="0.2">
      <c r="A6" s="81" t="s">
        <v>143</v>
      </c>
      <c r="B6" s="81" t="s">
        <v>144</v>
      </c>
      <c r="C6" s="82" t="s">
        <v>145</v>
      </c>
      <c r="D6" s="89"/>
      <c r="E6" s="81" t="s">
        <v>146</v>
      </c>
      <c r="F6" s="81" t="s">
        <v>158</v>
      </c>
      <c r="G6" s="81" t="s">
        <v>159</v>
      </c>
      <c r="H6" s="81" t="s">
        <v>147</v>
      </c>
      <c r="I6" s="81" t="s">
        <v>160</v>
      </c>
      <c r="J6" s="81">
        <v>1000</v>
      </c>
      <c r="K6" s="81" t="s">
        <v>149</v>
      </c>
      <c r="L6" s="81">
        <v>2753</v>
      </c>
      <c r="M6" s="81">
        <v>0</v>
      </c>
      <c r="N6" s="83">
        <v>0</v>
      </c>
      <c r="O6" s="90"/>
      <c r="P6" s="91"/>
      <c r="Q6" s="88"/>
      <c r="R6" s="88"/>
      <c r="S6" s="90"/>
      <c r="T6" s="91"/>
      <c r="U6" s="90"/>
      <c r="V6" s="91"/>
      <c r="W6" s="90"/>
      <c r="X6" s="92"/>
      <c r="Y6" s="90"/>
      <c r="Z6" s="91"/>
      <c r="AA6" s="90"/>
      <c r="AB6" s="91"/>
      <c r="AC6" s="88"/>
      <c r="AD6" s="88"/>
      <c r="AE6" s="88"/>
      <c r="AF6" s="88"/>
      <c r="AG6" s="76"/>
      <c r="AH6" s="76"/>
      <c r="AI6" s="76"/>
      <c r="AJ6" s="76"/>
      <c r="AK6" s="76"/>
      <c r="AL6" s="76"/>
    </row>
    <row r="7" spans="1:38" ht="16" x14ac:dyDescent="0.2">
      <c r="A7" s="81" t="s">
        <v>143</v>
      </c>
      <c r="B7" s="81" t="s">
        <v>144</v>
      </c>
      <c r="C7" s="82" t="s">
        <v>145</v>
      </c>
      <c r="D7" s="89"/>
      <c r="E7" s="81" t="s">
        <v>146</v>
      </c>
      <c r="F7" s="81" t="s">
        <v>34</v>
      </c>
      <c r="G7" s="81" t="s">
        <v>35</v>
      </c>
      <c r="H7" s="81" t="s">
        <v>147</v>
      </c>
      <c r="I7" s="81" t="s">
        <v>155</v>
      </c>
      <c r="J7" s="81">
        <v>1000</v>
      </c>
      <c r="K7" s="81" t="s">
        <v>149</v>
      </c>
      <c r="L7" s="81">
        <v>629</v>
      </c>
      <c r="M7" s="81">
        <v>0</v>
      </c>
      <c r="N7" s="83">
        <v>0</v>
      </c>
      <c r="O7" s="90"/>
      <c r="P7" s="91">
        <v>1000</v>
      </c>
      <c r="Q7" s="88"/>
      <c r="R7" s="88"/>
      <c r="S7" s="90"/>
      <c r="T7" s="91"/>
      <c r="U7" s="90"/>
      <c r="V7" s="91"/>
      <c r="W7" s="90"/>
      <c r="X7" s="91"/>
      <c r="Y7" s="90"/>
      <c r="Z7" s="91"/>
      <c r="AA7" s="90"/>
      <c r="AB7" s="91"/>
      <c r="AC7" s="88"/>
      <c r="AD7" s="88"/>
      <c r="AE7" s="88"/>
      <c r="AF7" s="88"/>
      <c r="AG7" s="76"/>
      <c r="AH7" s="76"/>
      <c r="AI7" s="76"/>
      <c r="AJ7" s="76"/>
      <c r="AK7" s="76"/>
      <c r="AL7" s="76"/>
    </row>
    <row r="8" spans="1:38" ht="16" x14ac:dyDescent="0.2">
      <c r="A8" s="70"/>
      <c r="B8" s="70"/>
      <c r="C8" s="71"/>
      <c r="D8" s="71"/>
      <c r="E8" s="70"/>
      <c r="F8" s="70"/>
      <c r="G8" s="70"/>
      <c r="H8" s="70"/>
      <c r="I8" s="70"/>
      <c r="J8" s="70"/>
      <c r="K8" s="72"/>
      <c r="L8" s="73"/>
      <c r="M8" s="70"/>
      <c r="N8" s="74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</row>
    <row r="9" spans="1:38" ht="16" x14ac:dyDescent="0.2">
      <c r="A9" s="70"/>
      <c r="B9" s="70"/>
      <c r="C9" s="71"/>
      <c r="D9" s="71"/>
      <c r="E9" s="70"/>
      <c r="F9" s="70"/>
      <c r="G9" s="70"/>
      <c r="H9" s="70"/>
      <c r="I9" s="70"/>
      <c r="J9" s="70"/>
      <c r="K9" s="72"/>
      <c r="L9" s="73"/>
      <c r="M9" s="70"/>
      <c r="N9" s="74"/>
      <c r="O9" s="77"/>
      <c r="P9" s="77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6"/>
      <c r="AE9" s="76"/>
      <c r="AF9" s="76"/>
      <c r="AG9" s="76"/>
      <c r="AH9" s="76"/>
      <c r="AI9" s="76"/>
      <c r="AJ9" s="76"/>
      <c r="AK9" s="76"/>
      <c r="AL9" s="76"/>
    </row>
    <row r="10" spans="1:38" ht="16" x14ac:dyDescent="0.2">
      <c r="A10" s="70"/>
      <c r="B10" s="70"/>
      <c r="C10" s="71"/>
      <c r="D10" s="71"/>
      <c r="E10" s="70"/>
      <c r="F10" s="70"/>
      <c r="G10" s="70"/>
      <c r="H10" s="70"/>
      <c r="I10" s="70"/>
      <c r="J10" s="70"/>
      <c r="K10" s="72"/>
      <c r="L10" s="73"/>
      <c r="M10" s="70"/>
      <c r="N10" s="74"/>
      <c r="O10" s="77"/>
      <c r="P10" s="77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6"/>
      <c r="AE10" s="76"/>
      <c r="AF10" s="76"/>
      <c r="AG10" s="76"/>
      <c r="AH10" s="76"/>
      <c r="AI10" s="76"/>
      <c r="AJ10" s="76"/>
      <c r="AK10" s="76"/>
      <c r="AL10" s="76"/>
    </row>
    <row r="11" spans="1:38" ht="16" x14ac:dyDescent="0.2">
      <c r="A11" s="70"/>
      <c r="B11" s="70"/>
      <c r="C11" s="71"/>
      <c r="D11" s="71"/>
      <c r="E11" s="78"/>
      <c r="F11" s="78"/>
      <c r="G11" s="70"/>
      <c r="H11" s="12"/>
      <c r="I11" s="70"/>
      <c r="J11" s="79"/>
      <c r="K11" s="72"/>
      <c r="L11" s="80"/>
      <c r="M11" s="70"/>
      <c r="N11" s="74"/>
      <c r="O11" s="77"/>
      <c r="P11" s="77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6"/>
      <c r="AE11" s="76"/>
      <c r="AF11" s="76"/>
      <c r="AG11" s="76"/>
      <c r="AH11" s="76"/>
      <c r="AI11" s="76"/>
      <c r="AJ11" s="76"/>
      <c r="AK11" s="76"/>
      <c r="AL11" s="76"/>
    </row>
    <row r="12" spans="1:38" x14ac:dyDescent="0.2">
      <c r="A12" s="26"/>
      <c r="B12" s="27"/>
      <c r="C12" s="28"/>
      <c r="D12" s="28"/>
      <c r="E12" s="28"/>
      <c r="F12" s="28"/>
      <c r="G12" s="26"/>
      <c r="H12" s="29"/>
      <c r="I12" s="29"/>
      <c r="J12" s="30"/>
      <c r="K12" s="31"/>
      <c r="L12" s="31"/>
      <c r="M12" s="32"/>
    </row>
    <row r="13" spans="1:38" x14ac:dyDescent="0.2">
      <c r="A13" s="26"/>
      <c r="B13" s="27"/>
      <c r="C13" s="28"/>
      <c r="D13" s="28"/>
      <c r="E13" s="28"/>
      <c r="F13" s="28"/>
      <c r="G13" s="26"/>
      <c r="H13" s="29"/>
      <c r="I13" s="29"/>
      <c r="J13" s="30"/>
      <c r="K13" s="31"/>
      <c r="L13" s="31"/>
      <c r="M13" s="32"/>
    </row>
    <row r="14" spans="1:38" x14ac:dyDescent="0.2">
      <c r="A14" s="26"/>
      <c r="B14" s="27"/>
      <c r="C14" s="28"/>
      <c r="D14" s="28"/>
      <c r="E14" s="28"/>
      <c r="F14" s="33"/>
      <c r="G14" s="26"/>
      <c r="H14" s="29"/>
      <c r="I14" s="29"/>
      <c r="J14" s="34"/>
      <c r="K14" s="31"/>
      <c r="L14" s="31"/>
      <c r="M14" s="33"/>
    </row>
    <row r="15" spans="1:38" x14ac:dyDescent="0.2">
      <c r="A15" s="26"/>
      <c r="B15" s="27"/>
      <c r="C15" s="28"/>
      <c r="D15" s="28"/>
      <c r="E15" s="28"/>
      <c r="F15" s="33"/>
      <c r="G15" s="26"/>
      <c r="H15" s="29"/>
      <c r="I15" s="29"/>
      <c r="J15" s="34"/>
      <c r="K15" s="31"/>
      <c r="L15" s="31"/>
      <c r="M15" s="33"/>
    </row>
    <row r="16" spans="1:38" x14ac:dyDescent="0.2">
      <c r="A16" s="26"/>
      <c r="B16" s="27"/>
      <c r="C16" s="28"/>
      <c r="D16" s="28"/>
      <c r="E16" s="28"/>
      <c r="F16" s="33"/>
      <c r="G16" s="26"/>
      <c r="H16" s="29"/>
      <c r="I16" s="29"/>
      <c r="J16" s="34"/>
      <c r="K16" s="31"/>
      <c r="L16" s="31"/>
      <c r="M16" s="33"/>
    </row>
    <row r="17" spans="1:38" x14ac:dyDescent="0.2">
      <c r="A17" s="26"/>
      <c r="B17" s="27"/>
      <c r="C17" s="28"/>
      <c r="D17" s="28"/>
      <c r="E17" s="28"/>
      <c r="F17" s="28"/>
      <c r="G17" s="28"/>
      <c r="H17" s="29"/>
      <c r="I17" s="29"/>
      <c r="J17" s="34"/>
      <c r="K17" s="31"/>
      <c r="L17" s="31"/>
      <c r="M17" s="32"/>
    </row>
    <row r="18" spans="1:38" x14ac:dyDescent="0.2">
      <c r="A18" s="26"/>
      <c r="B18" s="27"/>
      <c r="C18" s="28"/>
      <c r="D18" s="28"/>
      <c r="E18" s="28"/>
      <c r="F18" s="28"/>
      <c r="G18" s="28"/>
      <c r="H18" s="29"/>
      <c r="I18" s="29"/>
      <c r="J18" s="34"/>
      <c r="K18" s="31"/>
      <c r="L18" s="31"/>
      <c r="M18" s="32"/>
    </row>
    <row r="19" spans="1:38" x14ac:dyDescent="0.2">
      <c r="A19" s="24" t="s">
        <v>118</v>
      </c>
      <c r="B19" s="24" t="s">
        <v>119</v>
      </c>
      <c r="C19" s="24" t="s">
        <v>120</v>
      </c>
      <c r="D19" s="24"/>
      <c r="E19" s="24" t="s">
        <v>121</v>
      </c>
      <c r="F19" s="24" t="s">
        <v>122</v>
      </c>
      <c r="G19" s="24" t="s">
        <v>123</v>
      </c>
      <c r="H19" s="24" t="s">
        <v>124</v>
      </c>
      <c r="I19" s="24" t="s">
        <v>125</v>
      </c>
      <c r="J19" s="25" t="s">
        <v>126</v>
      </c>
      <c r="K19" s="24" t="s">
        <v>127</v>
      </c>
      <c r="L19" s="24" t="s">
        <v>128</v>
      </c>
      <c r="M19" s="24" t="s">
        <v>129</v>
      </c>
      <c r="N19" s="24" t="s">
        <v>130</v>
      </c>
    </row>
    <row r="20" spans="1:38" ht="16" x14ac:dyDescent="0.2">
      <c r="A20" s="81" t="s">
        <v>143</v>
      </c>
      <c r="B20" s="81" t="s">
        <v>144</v>
      </c>
      <c r="C20" s="82" t="s">
        <v>161</v>
      </c>
      <c r="D20" s="89"/>
      <c r="E20" s="81" t="s">
        <v>146</v>
      </c>
      <c r="F20" s="81" t="s">
        <v>162</v>
      </c>
      <c r="G20" s="81" t="s">
        <v>163</v>
      </c>
      <c r="H20" s="81" t="s">
        <v>147</v>
      </c>
      <c r="I20" s="81" t="s">
        <v>148</v>
      </c>
      <c r="J20" s="81">
        <v>2000</v>
      </c>
      <c r="K20" s="81" t="s">
        <v>149</v>
      </c>
      <c r="L20" s="81">
        <v>2452</v>
      </c>
      <c r="M20" s="81">
        <v>0</v>
      </c>
      <c r="N20" s="83">
        <v>0</v>
      </c>
      <c r="O20" s="84"/>
      <c r="P20" s="85"/>
      <c r="Q20" s="86"/>
      <c r="R20" s="86"/>
      <c r="S20" s="84"/>
      <c r="T20" s="85"/>
      <c r="U20" s="84"/>
      <c r="V20" s="85"/>
      <c r="W20" s="84"/>
      <c r="X20" s="87"/>
      <c r="Y20" s="84"/>
      <c r="Z20" s="85"/>
      <c r="AA20" s="84"/>
      <c r="AB20" s="85"/>
      <c r="AC20" s="86"/>
      <c r="AD20" s="88"/>
      <c r="AE20" s="84"/>
      <c r="AF20" s="76"/>
      <c r="AG20" s="76"/>
      <c r="AH20" s="76"/>
      <c r="AI20" s="76"/>
      <c r="AJ20" s="76"/>
      <c r="AK20" s="76"/>
      <c r="AL20" s="76"/>
    </row>
    <row r="21" spans="1:38" ht="16" x14ac:dyDescent="0.2">
      <c r="A21" s="81" t="s">
        <v>143</v>
      </c>
      <c r="B21" s="81" t="s">
        <v>144</v>
      </c>
      <c r="C21" s="82" t="s">
        <v>161</v>
      </c>
      <c r="D21" s="89"/>
      <c r="E21" s="81" t="s">
        <v>150</v>
      </c>
      <c r="F21" s="81" t="s">
        <v>164</v>
      </c>
      <c r="G21" s="81" t="s">
        <v>165</v>
      </c>
      <c r="H21" s="81" t="s">
        <v>147</v>
      </c>
      <c r="I21" s="81" t="s">
        <v>166</v>
      </c>
      <c r="J21" s="81">
        <v>1000</v>
      </c>
      <c r="K21" s="81" t="s">
        <v>149</v>
      </c>
      <c r="L21" s="81">
        <v>259</v>
      </c>
      <c r="M21" s="81">
        <v>0</v>
      </c>
      <c r="N21" s="83">
        <v>-1000</v>
      </c>
      <c r="O21" s="84"/>
      <c r="P21" s="85"/>
      <c r="Q21" s="86"/>
      <c r="R21" s="86"/>
      <c r="S21" s="84"/>
      <c r="T21" s="85"/>
      <c r="U21" s="84"/>
      <c r="V21" s="85"/>
      <c r="W21" s="84"/>
      <c r="X21" s="87"/>
      <c r="Y21" s="84"/>
      <c r="Z21" s="85"/>
      <c r="AA21" s="84"/>
      <c r="AB21" s="85"/>
      <c r="AC21" s="86"/>
      <c r="AD21" s="88"/>
      <c r="AE21" s="84"/>
      <c r="AF21" s="76"/>
      <c r="AG21" s="76"/>
      <c r="AH21" s="76"/>
      <c r="AI21" s="76"/>
      <c r="AJ21" s="76"/>
      <c r="AK21" s="76"/>
      <c r="AL21" s="76"/>
    </row>
    <row r="22" spans="1:38" ht="16" x14ac:dyDescent="0.2">
      <c r="A22" s="81" t="s">
        <v>143</v>
      </c>
      <c r="B22" s="81" t="s">
        <v>144</v>
      </c>
      <c r="C22" s="82" t="s">
        <v>161</v>
      </c>
      <c r="D22" s="89"/>
      <c r="E22" s="81" t="s">
        <v>146</v>
      </c>
      <c r="F22" s="81" t="s">
        <v>37</v>
      </c>
      <c r="G22" s="81" t="s">
        <v>38</v>
      </c>
      <c r="H22" s="81" t="s">
        <v>147</v>
      </c>
      <c r="I22" s="81" t="s">
        <v>155</v>
      </c>
      <c r="J22" s="81">
        <v>2700</v>
      </c>
      <c r="K22" s="81" t="s">
        <v>149</v>
      </c>
      <c r="L22" s="81">
        <v>5764</v>
      </c>
      <c r="M22" s="81">
        <v>0</v>
      </c>
      <c r="N22" s="83">
        <v>0</v>
      </c>
      <c r="O22" s="84"/>
      <c r="P22" s="85"/>
      <c r="Q22" s="86"/>
      <c r="R22" s="86"/>
      <c r="S22" s="84"/>
      <c r="T22" s="85"/>
      <c r="U22" s="84"/>
      <c r="V22" s="85">
        <v>1100</v>
      </c>
      <c r="W22" s="84"/>
      <c r="X22" s="87">
        <v>1100</v>
      </c>
      <c r="Y22" s="84"/>
      <c r="Z22" s="85">
        <v>500</v>
      </c>
      <c r="AA22" s="84"/>
      <c r="AB22" s="85"/>
      <c r="AC22" s="86"/>
      <c r="AD22" s="88"/>
      <c r="AE22" s="84"/>
      <c r="AF22" s="76"/>
      <c r="AG22" s="76"/>
      <c r="AH22" s="76"/>
      <c r="AI22" s="76"/>
      <c r="AJ22" s="76"/>
      <c r="AK22" s="76"/>
      <c r="AL22" s="76"/>
    </row>
    <row r="23" spans="1:38" ht="16" x14ac:dyDescent="0.2">
      <c r="A23" s="81" t="s">
        <v>143</v>
      </c>
      <c r="B23" s="81" t="s">
        <v>144</v>
      </c>
      <c r="C23" s="82" t="s">
        <v>161</v>
      </c>
      <c r="D23" s="89"/>
      <c r="E23" s="81" t="s">
        <v>146</v>
      </c>
      <c r="F23" s="81" t="s">
        <v>167</v>
      </c>
      <c r="G23" s="81" t="s">
        <v>168</v>
      </c>
      <c r="H23" s="81" t="s">
        <v>147</v>
      </c>
      <c r="I23" s="81" t="s">
        <v>160</v>
      </c>
      <c r="J23" s="81">
        <v>1000</v>
      </c>
      <c r="K23" s="81" t="s">
        <v>149</v>
      </c>
      <c r="L23" s="81">
        <v>1035</v>
      </c>
      <c r="M23" s="81">
        <v>0</v>
      </c>
      <c r="N23" s="83">
        <v>0</v>
      </c>
      <c r="O23" s="84"/>
      <c r="P23" s="85"/>
      <c r="Q23" s="86"/>
      <c r="R23" s="86"/>
      <c r="S23" s="84"/>
      <c r="T23" s="85"/>
      <c r="U23" s="84"/>
      <c r="V23" s="85"/>
      <c r="W23" s="84"/>
      <c r="X23" s="87"/>
      <c r="Y23" s="84"/>
      <c r="Z23" s="85"/>
      <c r="AA23" s="84"/>
      <c r="AB23" s="85"/>
      <c r="AC23" s="86"/>
      <c r="AD23" s="88"/>
      <c r="AE23" s="84"/>
      <c r="AF23" s="76"/>
      <c r="AG23" s="76"/>
      <c r="AH23" s="76"/>
      <c r="AI23" s="76"/>
      <c r="AJ23" s="76"/>
      <c r="AK23" s="76"/>
      <c r="AL23" s="76"/>
    </row>
    <row r="24" spans="1:38" ht="16" x14ac:dyDescent="0.2">
      <c r="A24" s="81" t="s">
        <v>143</v>
      </c>
      <c r="B24" s="81" t="s">
        <v>144</v>
      </c>
      <c r="C24" s="82" t="s">
        <v>161</v>
      </c>
      <c r="D24" s="89"/>
      <c r="E24" s="81" t="s">
        <v>146</v>
      </c>
      <c r="F24" s="81" t="s">
        <v>169</v>
      </c>
      <c r="G24" s="81" t="s">
        <v>170</v>
      </c>
      <c r="H24" s="81" t="s">
        <v>147</v>
      </c>
      <c r="I24" s="81" t="s">
        <v>160</v>
      </c>
      <c r="J24" s="81">
        <v>800</v>
      </c>
      <c r="K24" s="81" t="s">
        <v>149</v>
      </c>
      <c r="L24" s="81">
        <v>1635</v>
      </c>
      <c r="M24" s="81">
        <v>0</v>
      </c>
      <c r="N24" s="83">
        <v>0</v>
      </c>
      <c r="O24" s="84"/>
      <c r="P24" s="85"/>
      <c r="Q24" s="86"/>
      <c r="R24" s="86"/>
      <c r="S24" s="84"/>
      <c r="T24" s="85"/>
      <c r="U24" s="84"/>
      <c r="V24" s="85"/>
      <c r="W24" s="84"/>
      <c r="X24" s="87"/>
      <c r="Y24" s="84"/>
      <c r="Z24" s="85"/>
      <c r="AA24" s="84"/>
      <c r="AB24" s="85"/>
      <c r="AC24" s="86"/>
      <c r="AD24" s="88"/>
      <c r="AE24" s="84"/>
      <c r="AF24" s="76"/>
      <c r="AG24" s="76"/>
      <c r="AH24" s="76"/>
      <c r="AI24" s="76"/>
      <c r="AJ24" s="76"/>
      <c r="AK24" s="76"/>
      <c r="AL24" s="76"/>
    </row>
    <row r="25" spans="1:38" ht="16" x14ac:dyDescent="0.2">
      <c r="A25" s="70"/>
      <c r="B25" s="70"/>
      <c r="C25" s="71"/>
      <c r="D25" s="71"/>
      <c r="E25" s="70"/>
      <c r="F25" s="70"/>
      <c r="G25" s="70"/>
      <c r="H25" s="70"/>
      <c r="I25" s="70"/>
      <c r="J25" s="70"/>
      <c r="K25" s="72"/>
      <c r="L25" s="73"/>
      <c r="M25" s="70"/>
      <c r="N25" s="74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</row>
    <row r="26" spans="1:38" ht="16" x14ac:dyDescent="0.2">
      <c r="A26" s="70"/>
      <c r="B26" s="70"/>
      <c r="C26" s="71"/>
      <c r="D26" s="71"/>
      <c r="E26" s="78"/>
      <c r="F26" s="78"/>
      <c r="G26" s="70"/>
      <c r="H26" s="70"/>
      <c r="I26" s="70"/>
      <c r="J26" s="79"/>
      <c r="K26" s="72"/>
      <c r="L26" s="80"/>
      <c r="M26" s="70"/>
      <c r="N26" s="74"/>
      <c r="O26" s="77"/>
      <c r="P26" s="77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6"/>
      <c r="AE26" s="76"/>
      <c r="AF26" s="76"/>
      <c r="AG26" s="76"/>
      <c r="AH26" s="76"/>
      <c r="AI26" s="76"/>
      <c r="AJ26" s="76"/>
      <c r="AK26" s="76"/>
      <c r="AL26" s="76"/>
    </row>
    <row r="27" spans="1:38" ht="16" x14ac:dyDescent="0.2">
      <c r="A27" s="70"/>
      <c r="B27" s="70"/>
      <c r="C27" s="71"/>
      <c r="D27" s="71"/>
      <c r="E27" s="78"/>
      <c r="F27" s="78"/>
      <c r="G27" s="70"/>
      <c r="H27" s="70"/>
      <c r="I27" s="70"/>
      <c r="J27" s="79"/>
      <c r="K27" s="72"/>
      <c r="L27" s="80"/>
      <c r="M27" s="70"/>
      <c r="N27" s="74"/>
      <c r="O27" s="77"/>
      <c r="P27" s="77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6"/>
      <c r="AE27" s="76"/>
      <c r="AF27" s="76"/>
      <c r="AG27" s="76"/>
      <c r="AH27" s="76"/>
      <c r="AI27" s="76"/>
      <c r="AJ27" s="76"/>
      <c r="AK27" s="76"/>
      <c r="AL27" s="76"/>
    </row>
    <row r="34" spans="1:38" x14ac:dyDescent="0.2">
      <c r="A34" s="24" t="s">
        <v>118</v>
      </c>
      <c r="B34" s="24" t="s">
        <v>119</v>
      </c>
      <c r="C34" s="24" t="s">
        <v>120</v>
      </c>
      <c r="D34" s="24"/>
      <c r="E34" s="24" t="s">
        <v>121</v>
      </c>
      <c r="F34" s="24" t="s">
        <v>122</v>
      </c>
      <c r="G34" s="24" t="s">
        <v>123</v>
      </c>
      <c r="H34" s="24" t="s">
        <v>124</v>
      </c>
      <c r="I34" s="24" t="s">
        <v>125</v>
      </c>
      <c r="J34" s="25" t="s">
        <v>126</v>
      </c>
      <c r="K34" s="24" t="s">
        <v>127</v>
      </c>
      <c r="L34" s="24" t="s">
        <v>128</v>
      </c>
      <c r="M34" s="24" t="s">
        <v>129</v>
      </c>
      <c r="N34" s="24" t="s">
        <v>130</v>
      </c>
    </row>
    <row r="35" spans="1:38" ht="16" x14ac:dyDescent="0.2">
      <c r="A35" s="81" t="s">
        <v>143</v>
      </c>
      <c r="B35" s="81" t="s">
        <v>144</v>
      </c>
      <c r="C35" s="82" t="s">
        <v>171</v>
      </c>
      <c r="D35" s="89">
        <v>1</v>
      </c>
      <c r="E35" s="81" t="s">
        <v>146</v>
      </c>
      <c r="F35" s="81" t="s">
        <v>82</v>
      </c>
      <c r="G35" s="81" t="s">
        <v>83</v>
      </c>
      <c r="H35" s="81" t="s">
        <v>172</v>
      </c>
      <c r="I35" s="81" t="s">
        <v>148</v>
      </c>
      <c r="J35" s="81">
        <v>7000</v>
      </c>
      <c r="K35" s="81" t="s">
        <v>173</v>
      </c>
      <c r="L35" s="81">
        <v>0</v>
      </c>
      <c r="M35" s="81">
        <v>0</v>
      </c>
      <c r="N35" s="83">
        <v>0</v>
      </c>
      <c r="O35" s="93"/>
      <c r="P35" s="94"/>
      <c r="Q35" s="86"/>
      <c r="R35" s="86"/>
      <c r="S35" s="84"/>
      <c r="T35" s="85"/>
      <c r="U35" s="84">
        <v>7000</v>
      </c>
      <c r="V35" s="85"/>
      <c r="W35" s="84"/>
      <c r="X35" s="85"/>
      <c r="Y35" s="84"/>
      <c r="Z35" s="85"/>
      <c r="AA35" s="84"/>
      <c r="AB35" s="85"/>
      <c r="AC35" s="86"/>
      <c r="AD35" s="88"/>
      <c r="AE35" s="76"/>
      <c r="AF35" s="76"/>
      <c r="AG35" s="76"/>
      <c r="AH35" s="76"/>
      <c r="AI35" s="76"/>
      <c r="AJ35" s="76"/>
      <c r="AK35" s="76"/>
      <c r="AL35" s="76"/>
    </row>
    <row r="36" spans="1:38" ht="16" x14ac:dyDescent="0.2">
      <c r="A36" s="81" t="s">
        <v>143</v>
      </c>
      <c r="B36" s="81" t="s">
        <v>144</v>
      </c>
      <c r="C36" s="82" t="s">
        <v>171</v>
      </c>
      <c r="D36" s="89">
        <v>1</v>
      </c>
      <c r="E36" s="81" t="s">
        <v>146</v>
      </c>
      <c r="F36" s="81" t="s">
        <v>84</v>
      </c>
      <c r="G36" s="81" t="s">
        <v>85</v>
      </c>
      <c r="H36" s="81" t="s">
        <v>172</v>
      </c>
      <c r="I36" s="81" t="s">
        <v>155</v>
      </c>
      <c r="J36" s="81">
        <v>14000</v>
      </c>
      <c r="K36" s="81" t="s">
        <v>173</v>
      </c>
      <c r="L36" s="81">
        <v>-4000</v>
      </c>
      <c r="M36" s="81">
        <v>0</v>
      </c>
      <c r="N36" s="83">
        <v>0</v>
      </c>
      <c r="O36" s="90"/>
      <c r="P36" s="91"/>
      <c r="Q36" s="88"/>
      <c r="R36" s="88"/>
      <c r="S36" s="90"/>
      <c r="T36" s="91"/>
      <c r="U36" s="90"/>
      <c r="V36" s="91"/>
      <c r="W36" s="90"/>
      <c r="X36" s="91"/>
      <c r="Y36" s="90">
        <v>14000</v>
      </c>
      <c r="Z36" s="91"/>
      <c r="AA36" s="90"/>
      <c r="AB36" s="91"/>
      <c r="AC36" s="88"/>
      <c r="AD36" s="88"/>
      <c r="AE36" s="76"/>
      <c r="AF36" s="76"/>
      <c r="AG36" s="76"/>
      <c r="AH36" s="76"/>
      <c r="AI36" s="76"/>
      <c r="AJ36" s="76"/>
      <c r="AK36" s="76"/>
      <c r="AL36" s="76"/>
    </row>
    <row r="37" spans="1:38" ht="16" x14ac:dyDescent="0.2">
      <c r="A37" s="70"/>
      <c r="B37" s="70"/>
      <c r="C37" s="71"/>
      <c r="D37" s="71"/>
      <c r="E37" s="70"/>
      <c r="F37" s="70"/>
      <c r="G37" s="70"/>
      <c r="H37" s="70"/>
      <c r="I37" s="70"/>
      <c r="J37" s="70"/>
      <c r="K37" s="72"/>
      <c r="L37" s="73"/>
      <c r="M37" s="70"/>
      <c r="N37" s="74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6"/>
      <c r="AE37" s="76"/>
      <c r="AF37" s="76"/>
      <c r="AG37" s="76"/>
      <c r="AH37" s="76"/>
      <c r="AI37" s="76"/>
      <c r="AJ37" s="76"/>
      <c r="AK37" s="76"/>
      <c r="AL37" s="76"/>
    </row>
    <row r="38" spans="1:38" ht="16" x14ac:dyDescent="0.2">
      <c r="A38" s="70"/>
      <c r="B38" s="70"/>
      <c r="C38" s="71"/>
      <c r="D38" s="71"/>
      <c r="E38" s="70"/>
      <c r="F38" s="70"/>
      <c r="G38" s="70"/>
      <c r="H38" s="70"/>
      <c r="I38" s="70"/>
      <c r="J38" s="70"/>
      <c r="K38" s="72"/>
      <c r="L38" s="73"/>
      <c r="M38" s="70"/>
      <c r="N38" s="74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6"/>
      <c r="AE38" s="76"/>
      <c r="AF38" s="76"/>
      <c r="AG38" s="76"/>
      <c r="AH38" s="76"/>
      <c r="AI38" s="76"/>
      <c r="AJ38" s="76"/>
      <c r="AK38" s="76"/>
      <c r="AL38" s="76"/>
    </row>
    <row r="39" spans="1:38" ht="16" x14ac:dyDescent="0.2">
      <c r="A39" s="70"/>
      <c r="B39" s="70"/>
      <c r="C39" s="71"/>
      <c r="D39" s="71"/>
      <c r="E39" s="70"/>
      <c r="F39" s="70"/>
      <c r="G39" s="70"/>
      <c r="H39" s="70"/>
      <c r="I39" s="70"/>
      <c r="J39" s="70"/>
      <c r="K39" s="72"/>
      <c r="L39" s="73"/>
      <c r="M39" s="70"/>
      <c r="N39" s="74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6"/>
      <c r="AE39" s="76"/>
      <c r="AF39" s="76"/>
      <c r="AG39" s="76"/>
      <c r="AH39" s="76"/>
      <c r="AI39" s="76"/>
      <c r="AJ39" s="76"/>
      <c r="AK39" s="76"/>
      <c r="AL39" s="76"/>
    </row>
    <row r="40" spans="1:38" ht="16" x14ac:dyDescent="0.2">
      <c r="A40" s="70"/>
      <c r="B40" s="70"/>
      <c r="C40" s="71"/>
      <c r="D40" s="71"/>
      <c r="E40" s="70"/>
      <c r="F40" s="70"/>
      <c r="G40" s="70"/>
      <c r="H40" s="70"/>
      <c r="I40" s="70"/>
      <c r="J40" s="70"/>
      <c r="K40" s="72"/>
      <c r="L40" s="73"/>
      <c r="M40" s="70"/>
      <c r="N40" s="74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6"/>
      <c r="AE40" s="76"/>
      <c r="AF40" s="76"/>
      <c r="AG40" s="76"/>
      <c r="AH40" s="76"/>
      <c r="AI40" s="76"/>
      <c r="AJ40" s="76"/>
      <c r="AK40" s="76"/>
      <c r="AL40" s="76"/>
    </row>
    <row r="44" spans="1:38" x14ac:dyDescent="0.2">
      <c r="A44" s="24" t="s">
        <v>118</v>
      </c>
      <c r="B44" s="24" t="s">
        <v>119</v>
      </c>
      <c r="C44" s="24" t="s">
        <v>120</v>
      </c>
      <c r="D44" s="24"/>
      <c r="E44" s="24" t="s">
        <v>121</v>
      </c>
      <c r="F44" s="24" t="s">
        <v>122</v>
      </c>
      <c r="G44" s="24" t="s">
        <v>123</v>
      </c>
      <c r="H44" s="24" t="s">
        <v>124</v>
      </c>
      <c r="I44" s="24" t="s">
        <v>125</v>
      </c>
      <c r="J44" s="25" t="s">
        <v>126</v>
      </c>
      <c r="K44" s="24" t="s">
        <v>127</v>
      </c>
      <c r="L44" s="24" t="s">
        <v>128</v>
      </c>
      <c r="M44" s="24" t="s">
        <v>129</v>
      </c>
      <c r="N44" s="24" t="s">
        <v>130</v>
      </c>
    </row>
  </sheetData>
  <conditionalFormatting sqref="F1">
    <cfRule type="duplicateValues" dxfId="92" priority="58"/>
  </conditionalFormatting>
  <conditionalFormatting sqref="F14:G18 L12:L18">
    <cfRule type="cellIs" dxfId="91" priority="41" operator="lessThan">
      <formula>0</formula>
    </cfRule>
  </conditionalFormatting>
  <conditionalFormatting sqref="L12:L18">
    <cfRule type="cellIs" dxfId="90" priority="59" operator="lessThan">
      <formula>0</formula>
    </cfRule>
  </conditionalFormatting>
  <conditionalFormatting sqref="G13">
    <cfRule type="cellIs" dxfId="89" priority="56" operator="lessThan">
      <formula>0</formula>
    </cfRule>
  </conditionalFormatting>
  <conditionalFormatting sqref="G12">
    <cfRule type="cellIs" dxfId="88" priority="54" operator="lessThan">
      <formula>0</formula>
    </cfRule>
  </conditionalFormatting>
  <conditionalFormatting sqref="F14:F18">
    <cfRule type="duplicateValues" dxfId="87" priority="52"/>
  </conditionalFormatting>
  <conditionalFormatting sqref="F13">
    <cfRule type="cellIs" dxfId="86" priority="50" operator="lessThan">
      <formula>0</formula>
    </cfRule>
  </conditionalFormatting>
  <conditionalFormatting sqref="F12">
    <cfRule type="cellIs" dxfId="85" priority="45" operator="lessThan">
      <formula>0</formula>
    </cfRule>
  </conditionalFormatting>
  <conditionalFormatting sqref="F12">
    <cfRule type="duplicateValues" dxfId="84" priority="46"/>
  </conditionalFormatting>
  <conditionalFormatting sqref="F13">
    <cfRule type="duplicateValues" dxfId="83" priority="57"/>
  </conditionalFormatting>
  <conditionalFormatting sqref="F12:F18">
    <cfRule type="duplicateValues" dxfId="82" priority="574"/>
  </conditionalFormatting>
  <conditionalFormatting sqref="F34">
    <cfRule type="duplicateValues" dxfId="81" priority="40"/>
  </conditionalFormatting>
  <conditionalFormatting sqref="F44">
    <cfRule type="duplicateValues" dxfId="80" priority="39"/>
  </conditionalFormatting>
  <conditionalFormatting sqref="F19">
    <cfRule type="duplicateValues" dxfId="79" priority="38"/>
  </conditionalFormatting>
  <conditionalFormatting sqref="C8:D11">
    <cfRule type="cellIs" dxfId="78" priority="37" operator="lessThan">
      <formula>0</formula>
    </cfRule>
  </conditionalFormatting>
  <conditionalFormatting sqref="L8:L10 N8:N11 C8:D11">
    <cfRule type="cellIs" dxfId="77" priority="36" operator="lessThan">
      <formula>0</formula>
    </cfRule>
  </conditionalFormatting>
  <conditionalFormatting sqref="F11">
    <cfRule type="duplicateValues" dxfId="76" priority="33"/>
    <cfRule type="duplicateValues" dxfId="75" priority="34"/>
  </conditionalFormatting>
  <conditionalFormatting sqref="F11">
    <cfRule type="duplicateValues" dxfId="74" priority="35"/>
  </conditionalFormatting>
  <conditionalFormatting sqref="L11">
    <cfRule type="cellIs" dxfId="73" priority="32" operator="lessThan">
      <formula>0</formula>
    </cfRule>
  </conditionalFormatting>
  <conditionalFormatting sqref="L11">
    <cfRule type="cellIs" dxfId="72" priority="31" operator="lessThan">
      <formula>0</formula>
    </cfRule>
  </conditionalFormatting>
  <conditionalFormatting sqref="C25:D27">
    <cfRule type="cellIs" dxfId="71" priority="30" operator="lessThan">
      <formula>0</formula>
    </cfRule>
  </conditionalFormatting>
  <conditionalFormatting sqref="L25 N25:N27 C25:D27">
    <cfRule type="cellIs" dxfId="70" priority="29" operator="lessThan">
      <formula>0</formula>
    </cfRule>
  </conditionalFormatting>
  <conditionalFormatting sqref="F26">
    <cfRule type="duplicateValues" dxfId="69" priority="26"/>
    <cfRule type="duplicateValues" dxfId="68" priority="27"/>
  </conditionalFormatting>
  <conditionalFormatting sqref="F26">
    <cfRule type="duplicateValues" dxfId="67" priority="28"/>
  </conditionalFormatting>
  <conditionalFormatting sqref="L26">
    <cfRule type="cellIs" dxfId="66" priority="25" operator="lessThan">
      <formula>0</formula>
    </cfRule>
  </conditionalFormatting>
  <conditionalFormatting sqref="L26">
    <cfRule type="cellIs" dxfId="65" priority="24" operator="lessThan">
      <formula>0</formula>
    </cfRule>
  </conditionalFormatting>
  <conditionalFormatting sqref="L27">
    <cfRule type="cellIs" dxfId="64" priority="22" operator="lessThan">
      <formula>0</formula>
    </cfRule>
  </conditionalFormatting>
  <conditionalFormatting sqref="L27">
    <cfRule type="cellIs" dxfId="63" priority="21" operator="lessThan">
      <formula>0</formula>
    </cfRule>
  </conditionalFormatting>
  <conditionalFormatting sqref="F27">
    <cfRule type="duplicateValues" dxfId="62" priority="19"/>
    <cfRule type="duplicateValues" dxfId="61" priority="20"/>
  </conditionalFormatting>
  <conditionalFormatting sqref="F27">
    <cfRule type="duplicateValues" dxfId="60" priority="23"/>
  </conditionalFormatting>
  <conditionalFormatting sqref="C37:D40">
    <cfRule type="cellIs" dxfId="59" priority="18" operator="lessThan">
      <formula>0</formula>
    </cfRule>
  </conditionalFormatting>
  <conditionalFormatting sqref="L37:L40 N37:N40 C37:D40">
    <cfRule type="cellIs" dxfId="58" priority="17" operator="lessThan">
      <formula>0</formula>
    </cfRule>
  </conditionalFormatting>
  <conditionalFormatting sqref="C3:D7 C2">
    <cfRule type="cellIs" dxfId="57" priority="16" operator="lessThan">
      <formula>0</formula>
    </cfRule>
  </conditionalFormatting>
  <conditionalFormatting sqref="C3:D7 N2:N7 C2">
    <cfRule type="cellIs" dxfId="56" priority="15" operator="lessThan">
      <formula>0</formula>
    </cfRule>
  </conditionalFormatting>
  <conditionalFormatting sqref="A2:N7">
    <cfRule type="expression" dxfId="55" priority="14">
      <formula>ROW()=CELL("fila")</formula>
    </cfRule>
  </conditionalFormatting>
  <conditionalFormatting sqref="D3:D7">
    <cfRule type="cellIs" dxfId="54" priority="13" operator="equal">
      <formula>1</formula>
    </cfRule>
  </conditionalFormatting>
  <conditionalFormatting sqref="AE2:AF7">
    <cfRule type="expression" dxfId="53" priority="12">
      <formula>ROW()=CELL("fila")</formula>
    </cfRule>
  </conditionalFormatting>
  <conditionalFormatting sqref="O2:AD7">
    <cfRule type="expression" dxfId="52" priority="11">
      <formula>ROW()=CELL("fila")</formula>
    </cfRule>
  </conditionalFormatting>
  <conditionalFormatting sqref="C20:D24">
    <cfRule type="cellIs" dxfId="51" priority="10" operator="lessThan">
      <formula>0</formula>
    </cfRule>
  </conditionalFormatting>
  <conditionalFormatting sqref="N20:N24 C20:D24">
    <cfRule type="cellIs" dxfId="50" priority="9" operator="lessThan">
      <formula>0</formula>
    </cfRule>
  </conditionalFormatting>
  <conditionalFormatting sqref="D20:D24">
    <cfRule type="cellIs" dxfId="49" priority="8" operator="equal">
      <formula>1</formula>
    </cfRule>
  </conditionalFormatting>
  <conditionalFormatting sqref="A20:N24">
    <cfRule type="expression" dxfId="48" priority="7">
      <formula>ROW()=CELL("fila")</formula>
    </cfRule>
  </conditionalFormatting>
  <conditionalFormatting sqref="O20:AE24">
    <cfRule type="expression" dxfId="47" priority="6">
      <formula>ROW()=CELL("fila")</formula>
    </cfRule>
  </conditionalFormatting>
  <conditionalFormatting sqref="C35:D36">
    <cfRule type="cellIs" dxfId="46" priority="5" operator="lessThan">
      <formula>0</formula>
    </cfRule>
  </conditionalFormatting>
  <conditionalFormatting sqref="N35:N36 C35:D36">
    <cfRule type="cellIs" dxfId="45" priority="4" operator="lessThan">
      <formula>0</formula>
    </cfRule>
  </conditionalFormatting>
  <conditionalFormatting sqref="D35:D36">
    <cfRule type="cellIs" dxfId="44" priority="3" operator="equal">
      <formula>1</formula>
    </cfRule>
  </conditionalFormatting>
  <conditionalFormatting sqref="A35:N36">
    <cfRule type="expression" dxfId="43" priority="2">
      <formula>ROW()=CELL("fila")</formula>
    </cfRule>
  </conditionalFormatting>
  <conditionalFormatting sqref="O35:AD36">
    <cfRule type="expression" dxfId="42" priority="1">
      <formula>ROW()=CELL("fila")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50B50-310A-4A19-B908-FE008CA8B4AE}">
  <sheetPr codeName="Hoja2"/>
  <dimension ref="A1:AL44"/>
  <sheetViews>
    <sheetView topLeftCell="A32" workbookViewId="0">
      <selection activeCell="U35" sqref="U35:AJ36"/>
    </sheetView>
  </sheetViews>
  <sheetFormatPr baseColWidth="10" defaultColWidth="11.5" defaultRowHeight="15" x14ac:dyDescent="0.2"/>
  <cols>
    <col min="7" max="7" width="25.83203125" customWidth="1"/>
    <col min="9" max="9" width="34.5" customWidth="1"/>
    <col min="15" max="20" width="0" hidden="1" customWidth="1"/>
  </cols>
  <sheetData>
    <row r="1" spans="1:38" x14ac:dyDescent="0.2">
      <c r="A1" s="24" t="s">
        <v>118</v>
      </c>
      <c r="B1" s="24" t="s">
        <v>119</v>
      </c>
      <c r="C1" s="24" t="s">
        <v>120</v>
      </c>
      <c r="D1" s="24"/>
      <c r="E1" s="24" t="s">
        <v>121</v>
      </c>
      <c r="F1" s="24" t="s">
        <v>122</v>
      </c>
      <c r="G1" s="24" t="s">
        <v>123</v>
      </c>
      <c r="H1" s="24" t="s">
        <v>124</v>
      </c>
      <c r="I1" s="24" t="s">
        <v>125</v>
      </c>
      <c r="J1" s="25" t="s">
        <v>126</v>
      </c>
      <c r="K1" s="24" t="s">
        <v>127</v>
      </c>
      <c r="L1" s="24" t="s">
        <v>128</v>
      </c>
      <c r="M1" s="24" t="s">
        <v>129</v>
      </c>
      <c r="N1" s="24" t="s">
        <v>130</v>
      </c>
      <c r="O1" s="61" t="s">
        <v>137</v>
      </c>
      <c r="P1" s="61" t="s">
        <v>138</v>
      </c>
      <c r="Q1" s="61" t="s">
        <v>139</v>
      </c>
      <c r="R1" s="61" t="s">
        <v>140</v>
      </c>
      <c r="S1" s="61" t="s">
        <v>141</v>
      </c>
      <c r="T1" s="61" t="s">
        <v>142</v>
      </c>
      <c r="U1" s="61" t="s">
        <v>131</v>
      </c>
      <c r="V1" s="61" t="s">
        <v>132</v>
      </c>
      <c r="W1" s="61" t="s">
        <v>133</v>
      </c>
      <c r="X1" s="61" t="s">
        <v>134</v>
      </c>
      <c r="Y1" s="61" t="s">
        <v>135</v>
      </c>
      <c r="Z1" s="61" t="s">
        <v>136</v>
      </c>
      <c r="AA1" s="61" t="s">
        <v>137</v>
      </c>
      <c r="AB1" s="61" t="s">
        <v>138</v>
      </c>
      <c r="AC1" s="61" t="s">
        <v>139</v>
      </c>
      <c r="AD1" s="61" t="s">
        <v>140</v>
      </c>
      <c r="AE1" s="61" t="s">
        <v>141</v>
      </c>
      <c r="AF1" s="61" t="s">
        <v>142</v>
      </c>
      <c r="AG1" s="61" t="s">
        <v>131</v>
      </c>
      <c r="AH1" s="61" t="s">
        <v>132</v>
      </c>
      <c r="AI1" s="61" t="s">
        <v>133</v>
      </c>
      <c r="AJ1" s="61" t="s">
        <v>134</v>
      </c>
    </row>
    <row r="2" spans="1:38" ht="16" x14ac:dyDescent="0.2">
      <c r="A2" s="81" t="s">
        <v>143</v>
      </c>
      <c r="B2" s="81" t="s">
        <v>174</v>
      </c>
      <c r="C2" s="82" t="s">
        <v>175</v>
      </c>
      <c r="D2" s="89"/>
      <c r="E2" s="81" t="s">
        <v>150</v>
      </c>
      <c r="F2" s="81" t="s">
        <v>40</v>
      </c>
      <c r="G2" s="81" t="s">
        <v>41</v>
      </c>
      <c r="H2" s="81" t="s">
        <v>147</v>
      </c>
      <c r="I2" s="81" t="s">
        <v>176</v>
      </c>
      <c r="J2" s="81">
        <v>1000</v>
      </c>
      <c r="K2" s="81" t="s">
        <v>149</v>
      </c>
      <c r="L2" s="81">
        <v>976</v>
      </c>
      <c r="M2" s="81">
        <v>0</v>
      </c>
      <c r="N2" s="83">
        <v>0</v>
      </c>
      <c r="O2" s="75"/>
      <c r="P2" s="75"/>
      <c r="Q2" s="75"/>
      <c r="R2" s="75"/>
      <c r="S2" s="75"/>
      <c r="T2" s="75"/>
      <c r="U2" s="84"/>
      <c r="V2" s="85"/>
      <c r="W2" s="86"/>
      <c r="X2" s="86"/>
      <c r="Y2" s="84"/>
      <c r="Z2" s="85"/>
      <c r="AA2" s="84"/>
      <c r="AB2" s="85"/>
      <c r="AC2" s="84"/>
      <c r="AD2" s="87"/>
      <c r="AE2" s="84"/>
      <c r="AF2" s="85"/>
      <c r="AG2" s="84"/>
      <c r="AH2" s="85"/>
      <c r="AI2" s="86">
        <v>700</v>
      </c>
      <c r="AJ2" s="88">
        <v>300</v>
      </c>
      <c r="AK2" s="76"/>
      <c r="AL2" s="76"/>
    </row>
    <row r="3" spans="1:38" ht="16" x14ac:dyDescent="0.2">
      <c r="A3" s="81" t="s">
        <v>143</v>
      </c>
      <c r="B3" s="81" t="s">
        <v>174</v>
      </c>
      <c r="C3" s="82" t="s">
        <v>175</v>
      </c>
      <c r="D3" s="89"/>
      <c r="E3" s="81" t="s">
        <v>150</v>
      </c>
      <c r="F3" s="81" t="s">
        <v>42</v>
      </c>
      <c r="G3" s="81" t="s">
        <v>43</v>
      </c>
      <c r="H3" s="81" t="s">
        <v>147</v>
      </c>
      <c r="I3" s="81" t="s">
        <v>176</v>
      </c>
      <c r="J3" s="81">
        <v>500</v>
      </c>
      <c r="K3" s="81" t="s">
        <v>149</v>
      </c>
      <c r="L3" s="81">
        <v>731</v>
      </c>
      <c r="M3" s="81">
        <v>0</v>
      </c>
      <c r="N3" s="83">
        <v>0</v>
      </c>
      <c r="O3" s="75"/>
      <c r="P3" s="75"/>
      <c r="Q3" s="75"/>
      <c r="R3" s="75"/>
      <c r="S3" s="75"/>
      <c r="T3" s="75"/>
      <c r="U3" s="84"/>
      <c r="V3" s="85"/>
      <c r="W3" s="86"/>
      <c r="X3" s="86"/>
      <c r="Y3" s="84"/>
      <c r="Z3" s="85"/>
      <c r="AA3" s="84"/>
      <c r="AB3" s="85"/>
      <c r="AC3" s="84"/>
      <c r="AD3" s="87"/>
      <c r="AE3" s="84"/>
      <c r="AF3" s="85"/>
      <c r="AG3" s="84"/>
      <c r="AH3" s="85"/>
      <c r="AI3" s="86"/>
      <c r="AJ3" s="88">
        <v>200</v>
      </c>
      <c r="AK3" s="76"/>
      <c r="AL3" s="76"/>
    </row>
    <row r="4" spans="1:38" ht="16" x14ac:dyDescent="0.2">
      <c r="A4" s="81" t="s">
        <v>143</v>
      </c>
      <c r="B4" s="81" t="s">
        <v>174</v>
      </c>
      <c r="C4" s="82" t="s">
        <v>175</v>
      </c>
      <c r="D4" s="89"/>
      <c r="E4" s="81" t="s">
        <v>150</v>
      </c>
      <c r="F4" s="81" t="s">
        <v>44</v>
      </c>
      <c r="G4" s="81" t="s">
        <v>45</v>
      </c>
      <c r="H4" s="81" t="s">
        <v>147</v>
      </c>
      <c r="I4" s="81" t="s">
        <v>177</v>
      </c>
      <c r="J4" s="81">
        <v>500</v>
      </c>
      <c r="K4" s="81">
        <v>7125</v>
      </c>
      <c r="L4" s="81">
        <v>869</v>
      </c>
      <c r="M4" s="81">
        <v>0</v>
      </c>
      <c r="N4" s="83">
        <v>0</v>
      </c>
      <c r="O4" s="75"/>
      <c r="P4" s="75"/>
      <c r="Q4" s="75"/>
      <c r="R4" s="75"/>
      <c r="S4" s="75"/>
      <c r="T4" s="75"/>
      <c r="U4" s="84"/>
      <c r="V4" s="85"/>
      <c r="W4" s="86"/>
      <c r="X4" s="86"/>
      <c r="Y4" s="84"/>
      <c r="Z4" s="85"/>
      <c r="AA4" s="84"/>
      <c r="AB4" s="85"/>
      <c r="AC4" s="84"/>
      <c r="AD4" s="87"/>
      <c r="AE4" s="84"/>
      <c r="AF4" s="85"/>
      <c r="AG4" s="84">
        <v>500</v>
      </c>
      <c r="AH4" s="85"/>
      <c r="AI4" s="86"/>
      <c r="AJ4" s="88"/>
      <c r="AK4" s="76"/>
      <c r="AL4" s="76"/>
    </row>
    <row r="5" spans="1:38" ht="16" x14ac:dyDescent="0.2">
      <c r="A5" s="81" t="s">
        <v>143</v>
      </c>
      <c r="B5" s="81" t="s">
        <v>174</v>
      </c>
      <c r="C5" s="82" t="s">
        <v>175</v>
      </c>
      <c r="D5" s="89"/>
      <c r="E5" s="81" t="s">
        <v>150</v>
      </c>
      <c r="F5" s="81" t="s">
        <v>46</v>
      </c>
      <c r="G5" s="81" t="s">
        <v>47</v>
      </c>
      <c r="H5" s="81" t="s">
        <v>147</v>
      </c>
      <c r="I5" s="81" t="s">
        <v>177</v>
      </c>
      <c r="J5" s="81">
        <v>500</v>
      </c>
      <c r="K5" s="81">
        <v>5760</v>
      </c>
      <c r="L5" s="81">
        <v>61</v>
      </c>
      <c r="M5" s="81" t="s">
        <v>48</v>
      </c>
      <c r="N5" s="83">
        <v>0</v>
      </c>
      <c r="O5" s="75"/>
      <c r="P5" s="75"/>
      <c r="Q5" s="75"/>
      <c r="R5" s="75"/>
      <c r="S5" s="75"/>
      <c r="T5" s="75"/>
      <c r="U5" s="84"/>
      <c r="V5" s="85"/>
      <c r="W5" s="86"/>
      <c r="X5" s="86"/>
      <c r="Y5" s="84"/>
      <c r="Z5" s="85"/>
      <c r="AA5" s="84"/>
      <c r="AB5" s="85"/>
      <c r="AC5" s="84"/>
      <c r="AD5" s="87"/>
      <c r="AE5" s="84">
        <v>400</v>
      </c>
      <c r="AF5" s="85"/>
      <c r="AG5" s="84">
        <v>100</v>
      </c>
      <c r="AH5" s="85"/>
      <c r="AI5" s="86"/>
      <c r="AJ5" s="88"/>
      <c r="AK5" s="76"/>
      <c r="AL5" s="76"/>
    </row>
    <row r="6" spans="1:38" ht="16" x14ac:dyDescent="0.2">
      <c r="A6" s="81" t="s">
        <v>143</v>
      </c>
      <c r="B6" s="81" t="s">
        <v>174</v>
      </c>
      <c r="C6" s="82" t="s">
        <v>175</v>
      </c>
      <c r="D6" s="89"/>
      <c r="E6" s="81" t="s">
        <v>150</v>
      </c>
      <c r="F6" s="81" t="s">
        <v>49</v>
      </c>
      <c r="G6" s="81" t="s">
        <v>50</v>
      </c>
      <c r="H6" s="81" t="s">
        <v>156</v>
      </c>
      <c r="I6" s="81" t="s">
        <v>178</v>
      </c>
      <c r="J6" s="81">
        <v>580</v>
      </c>
      <c r="K6" s="81" t="s">
        <v>149</v>
      </c>
      <c r="L6" s="81">
        <v>1828</v>
      </c>
      <c r="M6" s="81">
        <v>0</v>
      </c>
      <c r="N6" s="83">
        <v>0</v>
      </c>
      <c r="O6" s="75"/>
      <c r="P6" s="75"/>
      <c r="Q6" s="75"/>
      <c r="R6" s="75"/>
      <c r="S6" s="75"/>
      <c r="T6" s="75"/>
      <c r="U6" s="84"/>
      <c r="V6" s="85"/>
      <c r="W6" s="86"/>
      <c r="X6" s="86"/>
      <c r="Y6" s="84"/>
      <c r="Z6" s="85"/>
      <c r="AA6" s="84"/>
      <c r="AB6" s="85"/>
      <c r="AC6" s="84"/>
      <c r="AD6" s="87"/>
      <c r="AE6" s="84"/>
      <c r="AF6" s="85"/>
      <c r="AG6" s="84"/>
      <c r="AH6" s="85"/>
      <c r="AI6" s="86"/>
      <c r="AJ6" s="88"/>
      <c r="AK6" s="76"/>
      <c r="AL6" s="76"/>
    </row>
    <row r="7" spans="1:38" ht="16" x14ac:dyDescent="0.2">
      <c r="A7" s="81" t="s">
        <v>143</v>
      </c>
      <c r="B7" s="81" t="s">
        <v>174</v>
      </c>
      <c r="C7" s="82" t="s">
        <v>175</v>
      </c>
      <c r="D7" s="89"/>
      <c r="E7" s="81" t="s">
        <v>150</v>
      </c>
      <c r="F7" s="81" t="s">
        <v>51</v>
      </c>
      <c r="G7" s="81" t="s">
        <v>52</v>
      </c>
      <c r="H7" s="81" t="s">
        <v>156</v>
      </c>
      <c r="I7" s="81" t="s">
        <v>178</v>
      </c>
      <c r="J7" s="81">
        <v>200</v>
      </c>
      <c r="K7" s="81" t="s">
        <v>149</v>
      </c>
      <c r="L7" s="81">
        <v>1</v>
      </c>
      <c r="M7" s="81">
        <v>0</v>
      </c>
      <c r="N7" s="83">
        <v>0</v>
      </c>
      <c r="O7" s="76"/>
      <c r="P7" s="76"/>
      <c r="Q7" s="76"/>
      <c r="R7" s="76"/>
      <c r="S7" s="75"/>
      <c r="T7" s="75"/>
      <c r="U7" s="84"/>
      <c r="V7" s="85"/>
      <c r="W7" s="86"/>
      <c r="X7" s="86"/>
      <c r="Y7" s="84"/>
      <c r="Z7" s="85"/>
      <c r="AA7" s="84"/>
      <c r="AB7" s="85"/>
      <c r="AC7" s="84"/>
      <c r="AD7" s="87"/>
      <c r="AE7" s="84"/>
      <c r="AF7" s="85"/>
      <c r="AG7" s="84"/>
      <c r="AH7" s="85"/>
      <c r="AI7" s="86"/>
      <c r="AJ7" s="88"/>
      <c r="AK7" s="76"/>
      <c r="AL7" s="76"/>
    </row>
    <row r="8" spans="1:38" ht="16" x14ac:dyDescent="0.2">
      <c r="A8" s="81" t="s">
        <v>143</v>
      </c>
      <c r="B8" s="81" t="s">
        <v>174</v>
      </c>
      <c r="C8" s="82" t="s">
        <v>175</v>
      </c>
      <c r="D8" s="89"/>
      <c r="E8" s="81" t="s">
        <v>150</v>
      </c>
      <c r="F8" s="81" t="s">
        <v>53</v>
      </c>
      <c r="G8" s="81" t="s">
        <v>54</v>
      </c>
      <c r="H8" s="81" t="s">
        <v>147</v>
      </c>
      <c r="I8" s="81" t="s">
        <v>179</v>
      </c>
      <c r="J8" s="81">
        <v>3000</v>
      </c>
      <c r="K8" s="81" t="s">
        <v>149</v>
      </c>
      <c r="L8" s="81">
        <v>1673</v>
      </c>
      <c r="M8" s="81">
        <v>0</v>
      </c>
      <c r="N8" s="83">
        <v>-670</v>
      </c>
      <c r="O8" s="76"/>
      <c r="P8" s="76"/>
      <c r="Q8" s="76"/>
      <c r="R8" s="76"/>
      <c r="S8" s="75"/>
      <c r="T8" s="75"/>
      <c r="U8" s="84"/>
      <c r="V8" s="85"/>
      <c r="W8" s="86"/>
      <c r="X8" s="86"/>
      <c r="Y8" s="84">
        <v>200</v>
      </c>
      <c r="Z8" s="85">
        <v>900</v>
      </c>
      <c r="AA8" s="84">
        <v>80</v>
      </c>
      <c r="AB8" s="85"/>
      <c r="AC8" s="84"/>
      <c r="AD8" s="87"/>
      <c r="AE8" s="84"/>
      <c r="AF8" s="85"/>
      <c r="AG8" s="84"/>
      <c r="AH8" s="85"/>
      <c r="AI8" s="86"/>
      <c r="AJ8" s="88"/>
      <c r="AK8" s="76"/>
      <c r="AL8" s="76"/>
    </row>
    <row r="9" spans="1:38" ht="16" x14ac:dyDescent="0.2">
      <c r="A9" s="81" t="s">
        <v>143</v>
      </c>
      <c r="B9" s="81" t="s">
        <v>174</v>
      </c>
      <c r="C9" s="82" t="s">
        <v>175</v>
      </c>
      <c r="D9" s="89"/>
      <c r="E9" s="81" t="s">
        <v>150</v>
      </c>
      <c r="F9" s="81" t="s">
        <v>55</v>
      </c>
      <c r="G9" s="81" t="s">
        <v>56</v>
      </c>
      <c r="H9" s="81" t="s">
        <v>147</v>
      </c>
      <c r="I9" s="81" t="s">
        <v>179</v>
      </c>
      <c r="J9" s="81">
        <v>1000</v>
      </c>
      <c r="K9" s="81" t="s">
        <v>149</v>
      </c>
      <c r="L9" s="81">
        <v>542</v>
      </c>
      <c r="M9" s="81">
        <v>0</v>
      </c>
      <c r="N9" s="83">
        <v>0</v>
      </c>
      <c r="O9" s="76"/>
      <c r="P9" s="76"/>
      <c r="Q9" s="76"/>
      <c r="R9" s="76"/>
      <c r="S9" s="75"/>
      <c r="T9" s="75"/>
      <c r="U9" s="84">
        <v>400</v>
      </c>
      <c r="V9" s="85"/>
      <c r="W9" s="86"/>
      <c r="X9" s="86"/>
      <c r="Y9" s="84">
        <v>200</v>
      </c>
      <c r="Z9" s="85"/>
      <c r="AA9" s="84"/>
      <c r="AB9" s="85"/>
      <c r="AC9" s="84"/>
      <c r="AD9" s="87"/>
      <c r="AE9" s="84"/>
      <c r="AF9" s="85"/>
      <c r="AG9" s="84"/>
      <c r="AH9" s="85"/>
      <c r="AI9" s="86"/>
      <c r="AJ9" s="88"/>
      <c r="AK9" s="76"/>
      <c r="AL9" s="76"/>
    </row>
    <row r="10" spans="1:38" ht="16" x14ac:dyDescent="0.2">
      <c r="A10" s="81" t="s">
        <v>143</v>
      </c>
      <c r="B10" s="81" t="s">
        <v>174</v>
      </c>
      <c r="C10" s="82" t="s">
        <v>175</v>
      </c>
      <c r="D10" s="89"/>
      <c r="E10" s="81" t="s">
        <v>180</v>
      </c>
      <c r="F10" s="81" t="s">
        <v>57</v>
      </c>
      <c r="G10" s="81" t="s">
        <v>58</v>
      </c>
      <c r="H10" s="81" t="s">
        <v>147</v>
      </c>
      <c r="I10" s="81" t="s">
        <v>181</v>
      </c>
      <c r="J10" s="81">
        <v>280</v>
      </c>
      <c r="K10" s="81" t="s">
        <v>149</v>
      </c>
      <c r="L10" s="81">
        <v>96</v>
      </c>
      <c r="M10" s="81" t="s">
        <v>59</v>
      </c>
      <c r="N10" s="83">
        <v>0</v>
      </c>
      <c r="O10" s="76"/>
      <c r="P10" s="76"/>
      <c r="Q10" s="76"/>
      <c r="R10" s="76"/>
      <c r="S10" s="76"/>
      <c r="T10" s="76"/>
      <c r="U10" s="84"/>
      <c r="V10" s="85"/>
      <c r="W10" s="86"/>
      <c r="X10" s="86"/>
      <c r="Y10" s="84"/>
      <c r="Z10" s="85"/>
      <c r="AA10" s="84"/>
      <c r="AB10" s="85"/>
      <c r="AC10" s="84"/>
      <c r="AD10" s="85"/>
      <c r="AE10" s="84"/>
      <c r="AF10" s="85"/>
      <c r="AG10" s="84"/>
      <c r="AH10" s="85"/>
      <c r="AI10" s="86"/>
      <c r="AJ10" s="88"/>
      <c r="AK10" s="76"/>
      <c r="AL10" s="76"/>
    </row>
    <row r="11" spans="1:38" ht="16" x14ac:dyDescent="0.2">
      <c r="A11" s="81" t="s">
        <v>143</v>
      </c>
      <c r="B11" s="81" t="s">
        <v>174</v>
      </c>
      <c r="C11" s="82" t="s">
        <v>175</v>
      </c>
      <c r="D11" s="89"/>
      <c r="E11" s="81" t="s">
        <v>150</v>
      </c>
      <c r="F11" s="81" t="s">
        <v>60</v>
      </c>
      <c r="G11" s="81" t="s">
        <v>61</v>
      </c>
      <c r="H11" s="81" t="s">
        <v>147</v>
      </c>
      <c r="I11" s="81" t="s">
        <v>182</v>
      </c>
      <c r="J11" s="81">
        <v>300</v>
      </c>
      <c r="K11" s="81" t="s">
        <v>149</v>
      </c>
      <c r="L11" s="81">
        <v>527</v>
      </c>
      <c r="M11" s="81">
        <v>0</v>
      </c>
      <c r="N11" s="83">
        <v>0</v>
      </c>
      <c r="O11" s="76"/>
      <c r="P11" s="76"/>
      <c r="Q11" s="76"/>
      <c r="R11" s="76"/>
      <c r="S11" s="76"/>
      <c r="T11" s="76"/>
      <c r="U11" s="90"/>
      <c r="V11" s="91"/>
      <c r="W11" s="88"/>
      <c r="X11" s="88"/>
      <c r="Y11" s="90"/>
      <c r="Z11" s="91"/>
      <c r="AA11" s="90">
        <v>300</v>
      </c>
      <c r="AB11" s="91"/>
      <c r="AC11" s="90"/>
      <c r="AD11" s="91"/>
      <c r="AE11" s="90"/>
      <c r="AF11" s="91"/>
      <c r="AG11" s="90"/>
      <c r="AH11" s="91"/>
      <c r="AI11" s="88"/>
      <c r="AJ11" s="88"/>
      <c r="AK11" s="76"/>
      <c r="AL11" s="76"/>
    </row>
    <row r="12" spans="1:38" ht="16" x14ac:dyDescent="0.2">
      <c r="A12" s="81" t="s">
        <v>143</v>
      </c>
      <c r="B12" s="81" t="s">
        <v>174</v>
      </c>
      <c r="C12" s="82" t="s">
        <v>175</v>
      </c>
      <c r="D12" s="89"/>
      <c r="E12" s="81" t="s">
        <v>146</v>
      </c>
      <c r="F12" s="81" t="s">
        <v>62</v>
      </c>
      <c r="G12" s="81" t="s">
        <v>63</v>
      </c>
      <c r="H12" s="81" t="s">
        <v>147</v>
      </c>
      <c r="I12" s="81" t="s">
        <v>183</v>
      </c>
      <c r="J12" s="81">
        <v>200</v>
      </c>
      <c r="K12" s="81" t="s">
        <v>149</v>
      </c>
      <c r="L12" s="81">
        <v>307</v>
      </c>
      <c r="M12" s="81">
        <v>0</v>
      </c>
      <c r="N12" s="83">
        <v>-200</v>
      </c>
      <c r="O12" s="76"/>
      <c r="P12" s="76"/>
      <c r="Q12" s="76"/>
      <c r="R12" s="76"/>
      <c r="S12" s="76"/>
      <c r="T12" s="76"/>
      <c r="U12" s="90"/>
      <c r="V12" s="91"/>
      <c r="W12" s="88"/>
      <c r="X12" s="88"/>
      <c r="Y12" s="90"/>
      <c r="Z12" s="91"/>
      <c r="AA12" s="90"/>
      <c r="AB12" s="91"/>
      <c r="AC12" s="90"/>
      <c r="AD12" s="91"/>
      <c r="AE12" s="90"/>
      <c r="AF12" s="91"/>
      <c r="AG12" s="90"/>
      <c r="AH12" s="91"/>
      <c r="AI12" s="88"/>
      <c r="AJ12" s="88"/>
      <c r="AK12" s="76"/>
      <c r="AL12" s="76"/>
    </row>
    <row r="13" spans="1:38" ht="16" x14ac:dyDescent="0.2">
      <c r="A13" s="81" t="s">
        <v>143</v>
      </c>
      <c r="B13" s="81" t="s">
        <v>174</v>
      </c>
      <c r="C13" s="82" t="s">
        <v>175</v>
      </c>
      <c r="D13" s="89"/>
      <c r="E13" s="81" t="s">
        <v>150</v>
      </c>
      <c r="F13" s="81" t="s">
        <v>64</v>
      </c>
      <c r="G13" s="81" t="s">
        <v>65</v>
      </c>
      <c r="H13" s="81" t="s">
        <v>147</v>
      </c>
      <c r="I13" s="81" t="s">
        <v>184</v>
      </c>
      <c r="J13" s="81">
        <v>15</v>
      </c>
      <c r="K13" s="81" t="s">
        <v>149</v>
      </c>
      <c r="L13" s="81">
        <v>-1</v>
      </c>
      <c r="M13" s="81">
        <v>0</v>
      </c>
      <c r="N13" s="83">
        <v>0</v>
      </c>
      <c r="O13" s="76"/>
      <c r="P13" s="76"/>
      <c r="Q13" s="76"/>
      <c r="R13" s="76"/>
      <c r="S13" s="76"/>
      <c r="T13" s="76"/>
      <c r="U13" s="93"/>
      <c r="V13" s="94"/>
      <c r="W13" s="86"/>
      <c r="X13" s="86"/>
      <c r="Y13" s="84"/>
      <c r="Z13" s="85"/>
      <c r="AA13" s="84"/>
      <c r="AB13" s="85"/>
      <c r="AC13" s="84"/>
      <c r="AD13" s="85"/>
      <c r="AE13" s="84"/>
      <c r="AF13" s="85"/>
      <c r="AG13" s="84"/>
      <c r="AH13" s="85"/>
      <c r="AI13" s="86"/>
      <c r="AJ13" s="88"/>
      <c r="AK13" s="76"/>
      <c r="AL13" s="76"/>
    </row>
    <row r="14" spans="1:38" ht="16" x14ac:dyDescent="0.2">
      <c r="A14" s="81" t="s">
        <v>143</v>
      </c>
      <c r="B14" s="81" t="s">
        <v>174</v>
      </c>
      <c r="C14" s="82" t="s">
        <v>175</v>
      </c>
      <c r="D14" s="89"/>
      <c r="E14" s="81" t="s">
        <v>150</v>
      </c>
      <c r="F14" s="81" t="s">
        <v>66</v>
      </c>
      <c r="G14" s="81" t="s">
        <v>67</v>
      </c>
      <c r="H14" s="81" t="s">
        <v>147</v>
      </c>
      <c r="I14" s="81" t="s">
        <v>177</v>
      </c>
      <c r="J14" s="81">
        <v>300</v>
      </c>
      <c r="K14" s="81" t="s">
        <v>149</v>
      </c>
      <c r="L14" s="81">
        <v>354</v>
      </c>
      <c r="M14" s="81">
        <v>0</v>
      </c>
      <c r="N14" s="83">
        <v>-300</v>
      </c>
      <c r="O14" s="76"/>
      <c r="P14" s="76"/>
      <c r="Q14" s="76"/>
      <c r="R14" s="76"/>
      <c r="S14" s="76"/>
      <c r="T14" s="76"/>
      <c r="U14" s="93"/>
      <c r="V14" s="94"/>
      <c r="W14" s="86"/>
      <c r="X14" s="86"/>
      <c r="Y14" s="84"/>
      <c r="Z14" s="85"/>
      <c r="AA14" s="84"/>
      <c r="AB14" s="85"/>
      <c r="AC14" s="84"/>
      <c r="AD14" s="85"/>
      <c r="AE14" s="84"/>
      <c r="AF14" s="85"/>
      <c r="AG14" s="84"/>
      <c r="AH14" s="85"/>
      <c r="AI14" s="86"/>
      <c r="AJ14" s="88"/>
      <c r="AK14" s="76"/>
      <c r="AL14" s="76"/>
    </row>
    <row r="15" spans="1:38" ht="16" x14ac:dyDescent="0.2">
      <c r="A15" s="81" t="s">
        <v>143</v>
      </c>
      <c r="B15" s="81" t="s">
        <v>174</v>
      </c>
      <c r="C15" s="82" t="s">
        <v>175</v>
      </c>
      <c r="D15" s="89">
        <v>1</v>
      </c>
      <c r="E15" s="81" t="s">
        <v>146</v>
      </c>
      <c r="F15" s="81">
        <v>50008</v>
      </c>
      <c r="G15" s="81" t="s">
        <v>68</v>
      </c>
      <c r="H15" s="81" t="s">
        <v>172</v>
      </c>
      <c r="I15" s="81" t="s">
        <v>185</v>
      </c>
      <c r="J15" s="81">
        <v>60</v>
      </c>
      <c r="K15" s="81" t="s">
        <v>149</v>
      </c>
      <c r="L15" s="81">
        <v>-60</v>
      </c>
      <c r="M15" s="81" t="s">
        <v>69</v>
      </c>
      <c r="N15" s="83">
        <v>0</v>
      </c>
      <c r="O15" s="76"/>
      <c r="P15" s="76"/>
      <c r="Q15" s="76"/>
      <c r="R15" s="76"/>
      <c r="S15" s="76"/>
      <c r="T15" s="76"/>
      <c r="U15" s="93"/>
      <c r="V15" s="94"/>
      <c r="W15" s="86"/>
      <c r="X15" s="86"/>
      <c r="Y15" s="84"/>
      <c r="Z15" s="85"/>
      <c r="AA15" s="84">
        <v>60</v>
      </c>
      <c r="AB15" s="85"/>
      <c r="AC15" s="84"/>
      <c r="AD15" s="85"/>
      <c r="AE15" s="84"/>
      <c r="AF15" s="85"/>
      <c r="AG15" s="84"/>
      <c r="AH15" s="85"/>
      <c r="AI15" s="86"/>
      <c r="AJ15" s="88"/>
      <c r="AK15" s="76"/>
      <c r="AL15" s="76"/>
    </row>
    <row r="16" spans="1:38" ht="16" x14ac:dyDescent="0.2">
      <c r="A16" s="81" t="s">
        <v>143</v>
      </c>
      <c r="B16" s="81" t="s">
        <v>174</v>
      </c>
      <c r="C16" s="82" t="s">
        <v>175</v>
      </c>
      <c r="D16" s="89"/>
      <c r="E16" s="81" t="s">
        <v>150</v>
      </c>
      <c r="F16" s="81" t="s">
        <v>70</v>
      </c>
      <c r="G16" s="81" t="s">
        <v>71</v>
      </c>
      <c r="H16" s="81" t="s">
        <v>147</v>
      </c>
      <c r="I16" s="81" t="s">
        <v>186</v>
      </c>
      <c r="J16" s="81">
        <v>430</v>
      </c>
      <c r="K16" s="81" t="s">
        <v>149</v>
      </c>
      <c r="L16" s="81">
        <v>130</v>
      </c>
      <c r="M16" s="81" t="s">
        <v>72</v>
      </c>
      <c r="N16" s="83">
        <v>0</v>
      </c>
      <c r="O16" s="76"/>
      <c r="P16" s="76"/>
      <c r="Q16" s="76"/>
      <c r="R16" s="76"/>
      <c r="S16" s="76"/>
      <c r="T16" s="76"/>
      <c r="U16" s="93"/>
      <c r="V16" s="94"/>
      <c r="W16" s="86"/>
      <c r="X16" s="86"/>
      <c r="Y16" s="84"/>
      <c r="Z16" s="85"/>
      <c r="AA16" s="84"/>
      <c r="AB16" s="85"/>
      <c r="AC16" s="84">
        <v>430</v>
      </c>
      <c r="AD16" s="85"/>
      <c r="AE16" s="84"/>
      <c r="AF16" s="85"/>
      <c r="AG16" s="84"/>
      <c r="AH16" s="85"/>
      <c r="AI16" s="86"/>
      <c r="AJ16" s="88"/>
      <c r="AK16" s="76"/>
      <c r="AL16" s="76"/>
    </row>
    <row r="17" spans="1:38" ht="16" x14ac:dyDescent="0.2">
      <c r="A17" s="81" t="s">
        <v>143</v>
      </c>
      <c r="B17" s="81" t="s">
        <v>174</v>
      </c>
      <c r="C17" s="82" t="s">
        <v>175</v>
      </c>
      <c r="D17" s="89"/>
      <c r="E17" s="81" t="s">
        <v>150</v>
      </c>
      <c r="F17" s="81" t="s">
        <v>73</v>
      </c>
      <c r="G17" s="81" t="s">
        <v>74</v>
      </c>
      <c r="H17" s="81" t="s">
        <v>147</v>
      </c>
      <c r="I17" s="81" t="s">
        <v>186</v>
      </c>
      <c r="J17" s="81">
        <v>200</v>
      </c>
      <c r="K17" s="81" t="s">
        <v>149</v>
      </c>
      <c r="L17" s="81">
        <v>32</v>
      </c>
      <c r="M17" s="81">
        <v>0</v>
      </c>
      <c r="N17" s="83">
        <v>0</v>
      </c>
      <c r="O17" s="76"/>
      <c r="P17" s="76"/>
      <c r="Q17" s="76"/>
      <c r="R17" s="76"/>
      <c r="S17" s="76"/>
      <c r="T17" s="76"/>
      <c r="U17" s="90"/>
      <c r="V17" s="91"/>
      <c r="W17" s="88"/>
      <c r="X17" s="88"/>
      <c r="Y17" s="90"/>
      <c r="Z17" s="91"/>
      <c r="AA17" s="90"/>
      <c r="AB17" s="91"/>
      <c r="AC17" s="90">
        <v>200</v>
      </c>
      <c r="AD17" s="91"/>
      <c r="AE17" s="90"/>
      <c r="AF17" s="91"/>
      <c r="AG17" s="90"/>
      <c r="AH17" s="91"/>
      <c r="AI17" s="88"/>
      <c r="AJ17" s="88"/>
      <c r="AK17" s="76"/>
      <c r="AL17" s="76"/>
    </row>
    <row r="18" spans="1:38" ht="16" x14ac:dyDescent="0.2">
      <c r="A18" s="81" t="s">
        <v>143</v>
      </c>
      <c r="B18" s="81" t="s">
        <v>174</v>
      </c>
      <c r="C18" s="82" t="s">
        <v>175</v>
      </c>
      <c r="D18" s="89">
        <v>1</v>
      </c>
      <c r="E18" s="81" t="s">
        <v>150</v>
      </c>
      <c r="F18" s="81">
        <v>51385</v>
      </c>
      <c r="G18" s="81" t="s">
        <v>75</v>
      </c>
      <c r="H18" s="81" t="s">
        <v>172</v>
      </c>
      <c r="I18" s="81" t="s">
        <v>187</v>
      </c>
      <c r="J18" s="81">
        <v>9</v>
      </c>
      <c r="K18" s="81" t="s">
        <v>149</v>
      </c>
      <c r="L18" s="81">
        <v>-9</v>
      </c>
      <c r="M18" s="81">
        <v>0</v>
      </c>
      <c r="N18" s="83">
        <v>0</v>
      </c>
      <c r="O18" s="77"/>
      <c r="P18" s="77"/>
      <c r="Q18" s="75"/>
      <c r="R18" s="75"/>
      <c r="S18" s="75"/>
      <c r="T18" s="75"/>
      <c r="U18" s="93"/>
      <c r="V18" s="94"/>
      <c r="W18" s="86"/>
      <c r="X18" s="86"/>
      <c r="Y18" s="84"/>
      <c r="Z18" s="85"/>
      <c r="AA18" s="84"/>
      <c r="AB18" s="85"/>
      <c r="AC18" s="84">
        <v>9</v>
      </c>
      <c r="AD18" s="85"/>
      <c r="AE18" s="84"/>
      <c r="AF18" s="85"/>
      <c r="AG18" s="84"/>
      <c r="AH18" s="85"/>
      <c r="AI18" s="86"/>
      <c r="AJ18" s="88"/>
      <c r="AK18" s="76"/>
      <c r="AL18" s="76"/>
    </row>
    <row r="19" spans="1:38" x14ac:dyDescent="0.2">
      <c r="A19" s="26"/>
      <c r="B19" s="27"/>
      <c r="C19" s="28"/>
      <c r="D19" s="28"/>
      <c r="E19" s="28"/>
      <c r="F19" s="28"/>
      <c r="G19" s="26"/>
      <c r="H19" s="29"/>
      <c r="I19" s="29"/>
      <c r="J19" s="30"/>
      <c r="K19" s="31"/>
      <c r="L19" s="31"/>
      <c r="M19" s="32"/>
    </row>
    <row r="20" spans="1:38" x14ac:dyDescent="0.2">
      <c r="A20" s="26"/>
      <c r="B20" s="27"/>
      <c r="C20" s="28"/>
      <c r="D20" s="28"/>
      <c r="E20" s="28"/>
      <c r="F20" s="28"/>
      <c r="G20" s="26"/>
      <c r="H20" s="29"/>
      <c r="I20" s="29"/>
      <c r="J20" s="30"/>
      <c r="K20" s="31"/>
      <c r="L20" s="31"/>
      <c r="M20" s="32"/>
    </row>
    <row r="21" spans="1:38" x14ac:dyDescent="0.2">
      <c r="A21" s="26"/>
      <c r="B21" s="27"/>
      <c r="C21" s="28"/>
      <c r="D21" s="28"/>
      <c r="E21" s="28"/>
      <c r="F21" s="33"/>
      <c r="G21" s="26"/>
      <c r="H21" s="29"/>
      <c r="I21" s="29"/>
      <c r="J21" s="34"/>
      <c r="K21" s="31"/>
      <c r="L21" s="31"/>
      <c r="M21" s="33"/>
    </row>
    <row r="22" spans="1:38" x14ac:dyDescent="0.2">
      <c r="A22" s="26"/>
      <c r="B22" s="27"/>
      <c r="C22" s="28"/>
      <c r="D22" s="28"/>
      <c r="E22" s="28"/>
      <c r="F22" s="33"/>
      <c r="G22" s="26"/>
      <c r="H22" s="29"/>
      <c r="I22" s="29"/>
      <c r="J22" s="34"/>
      <c r="K22" s="31"/>
      <c r="L22" s="31"/>
      <c r="M22" s="33"/>
    </row>
    <row r="23" spans="1:38" x14ac:dyDescent="0.2">
      <c r="A23" s="26"/>
      <c r="B23" s="27"/>
      <c r="C23" s="28"/>
      <c r="D23" s="28"/>
      <c r="E23" s="28"/>
      <c r="F23" s="33"/>
      <c r="G23" s="26"/>
      <c r="H23" s="29"/>
      <c r="I23" s="29"/>
      <c r="J23" s="34"/>
      <c r="K23" s="31"/>
      <c r="L23" s="31"/>
      <c r="M23" s="33"/>
    </row>
    <row r="24" spans="1:38" x14ac:dyDescent="0.2">
      <c r="A24" s="26"/>
      <c r="B24" s="27"/>
      <c r="C24" s="28"/>
      <c r="D24" s="28"/>
      <c r="E24" s="28"/>
      <c r="F24" s="33"/>
      <c r="G24" s="26"/>
      <c r="H24" s="29"/>
      <c r="I24" s="29"/>
      <c r="J24" s="34"/>
      <c r="K24" s="31"/>
      <c r="L24" s="31"/>
      <c r="M24" s="33"/>
    </row>
    <row r="25" spans="1:38" x14ac:dyDescent="0.2">
      <c r="A25" s="26"/>
      <c r="B25" s="27"/>
      <c r="C25" s="28"/>
      <c r="D25" s="28"/>
      <c r="E25" s="28"/>
      <c r="F25" s="33"/>
      <c r="G25" s="26"/>
      <c r="H25" s="29"/>
      <c r="I25" s="29"/>
      <c r="J25" s="34"/>
      <c r="K25" s="31"/>
      <c r="L25" s="31"/>
      <c r="M25" s="33"/>
    </row>
    <row r="34" spans="1:36" x14ac:dyDescent="0.2">
      <c r="A34" s="24" t="s">
        <v>118</v>
      </c>
      <c r="B34" s="24" t="s">
        <v>119</v>
      </c>
      <c r="C34" s="24" t="s">
        <v>120</v>
      </c>
      <c r="D34" s="24"/>
      <c r="E34" s="24" t="s">
        <v>121</v>
      </c>
      <c r="F34" s="24" t="s">
        <v>122</v>
      </c>
      <c r="G34" s="24" t="s">
        <v>123</v>
      </c>
      <c r="H34" s="24" t="s">
        <v>124</v>
      </c>
      <c r="I34" s="24" t="s">
        <v>125</v>
      </c>
      <c r="J34" s="25" t="s">
        <v>126</v>
      </c>
      <c r="K34" s="24" t="s">
        <v>127</v>
      </c>
      <c r="L34" s="24" t="s">
        <v>128</v>
      </c>
      <c r="M34" s="24" t="s">
        <v>129</v>
      </c>
      <c r="N34" s="24" t="s">
        <v>130</v>
      </c>
      <c r="O34" s="62"/>
      <c r="P34" s="62"/>
      <c r="Q34" s="62"/>
      <c r="R34" s="62"/>
    </row>
    <row r="35" spans="1:36" ht="16" x14ac:dyDescent="0.2">
      <c r="A35" s="81" t="s">
        <v>143</v>
      </c>
      <c r="B35" s="81" t="s">
        <v>174</v>
      </c>
      <c r="C35" s="82" t="s">
        <v>188</v>
      </c>
      <c r="D35" s="89">
        <v>1</v>
      </c>
      <c r="E35" s="81" t="s">
        <v>150</v>
      </c>
      <c r="F35" s="81" t="s">
        <v>86</v>
      </c>
      <c r="G35" s="81" t="s">
        <v>87</v>
      </c>
      <c r="H35" s="81" t="s">
        <v>172</v>
      </c>
      <c r="I35" s="81" t="s">
        <v>186</v>
      </c>
      <c r="J35" s="81">
        <v>4000</v>
      </c>
      <c r="K35" s="81" t="s">
        <v>173</v>
      </c>
      <c r="L35" s="81">
        <v>0</v>
      </c>
      <c r="M35" s="81">
        <v>0</v>
      </c>
      <c r="N35" s="83">
        <v>0</v>
      </c>
      <c r="U35" s="90"/>
      <c r="V35" s="91"/>
      <c r="W35" s="88"/>
      <c r="X35" s="88"/>
      <c r="Y35" s="90"/>
      <c r="Z35" s="91"/>
      <c r="AA35" s="90">
        <v>3000</v>
      </c>
      <c r="AB35" s="91">
        <v>1000</v>
      </c>
      <c r="AC35" s="90"/>
      <c r="AD35" s="91"/>
      <c r="AE35" s="90"/>
      <c r="AF35" s="91"/>
      <c r="AG35" s="90"/>
      <c r="AH35" s="91"/>
      <c r="AI35" s="88"/>
      <c r="AJ35" s="88"/>
    </row>
    <row r="36" spans="1:36" ht="16" x14ac:dyDescent="0.2">
      <c r="A36" s="81" t="s">
        <v>143</v>
      </c>
      <c r="B36" s="81" t="s">
        <v>174</v>
      </c>
      <c r="C36" s="82" t="s">
        <v>188</v>
      </c>
      <c r="D36" s="89">
        <v>1</v>
      </c>
      <c r="E36" s="81" t="s">
        <v>150</v>
      </c>
      <c r="F36" s="81" t="s">
        <v>88</v>
      </c>
      <c r="G36" s="81" t="s">
        <v>89</v>
      </c>
      <c r="H36" s="81" t="s">
        <v>172</v>
      </c>
      <c r="I36" s="81" t="s">
        <v>189</v>
      </c>
      <c r="J36" s="81">
        <v>2400</v>
      </c>
      <c r="K36" s="81" t="s">
        <v>173</v>
      </c>
      <c r="L36" s="81">
        <v>0</v>
      </c>
      <c r="M36" s="81">
        <v>0</v>
      </c>
      <c r="N36" s="83">
        <v>0</v>
      </c>
      <c r="U36" s="90"/>
      <c r="V36" s="91"/>
      <c r="W36" s="88"/>
      <c r="X36" s="88"/>
      <c r="Y36" s="90"/>
      <c r="Z36" s="91"/>
      <c r="AA36" s="90"/>
      <c r="AB36" s="91"/>
      <c r="AC36" s="90"/>
      <c r="AD36" s="91"/>
      <c r="AE36" s="90">
        <v>2400</v>
      </c>
      <c r="AF36" s="91"/>
      <c r="AG36" s="90"/>
      <c r="AH36" s="91"/>
      <c r="AI36" s="88"/>
      <c r="AJ36" s="88"/>
    </row>
    <row r="44" spans="1:36" x14ac:dyDescent="0.2">
      <c r="A44" s="24" t="s">
        <v>118</v>
      </c>
      <c r="B44" s="24" t="s">
        <v>119</v>
      </c>
      <c r="C44" s="24" t="s">
        <v>120</v>
      </c>
      <c r="D44" s="24"/>
      <c r="E44" s="24" t="s">
        <v>121</v>
      </c>
      <c r="F44" s="24" t="s">
        <v>122</v>
      </c>
      <c r="G44" s="24" t="s">
        <v>123</v>
      </c>
      <c r="H44" s="24" t="s">
        <v>124</v>
      </c>
      <c r="I44" s="24" t="s">
        <v>125</v>
      </c>
      <c r="J44" s="25" t="s">
        <v>126</v>
      </c>
      <c r="K44" s="24" t="s">
        <v>127</v>
      </c>
      <c r="L44" s="24" t="s">
        <v>128</v>
      </c>
      <c r="M44" s="24" t="s">
        <v>129</v>
      </c>
      <c r="N44" s="24" t="s">
        <v>130</v>
      </c>
      <c r="O44" s="62"/>
      <c r="P44" s="62"/>
      <c r="Q44" s="62"/>
      <c r="R44" s="62"/>
    </row>
  </sheetData>
  <conditionalFormatting sqref="F1">
    <cfRule type="duplicateValues" dxfId="41" priority="542"/>
  </conditionalFormatting>
  <conditionalFormatting sqref="L19:L22 F19:G19 L29 F29:G29">
    <cfRule type="cellIs" dxfId="40" priority="25" operator="lessThan">
      <formula>0</formula>
    </cfRule>
  </conditionalFormatting>
  <conditionalFormatting sqref="L25:L26 L19:L22 L29">
    <cfRule type="cellIs" dxfId="39" priority="543" operator="lessThan">
      <formula>0</formula>
    </cfRule>
  </conditionalFormatting>
  <conditionalFormatting sqref="L26">
    <cfRule type="cellIs" dxfId="38" priority="28" operator="lessThan">
      <formula>0</formula>
    </cfRule>
  </conditionalFormatting>
  <conditionalFormatting sqref="G19:G22">
    <cfRule type="cellIs" dxfId="37" priority="47" operator="lessThan">
      <formula>0</formula>
    </cfRule>
  </conditionalFormatting>
  <conditionalFormatting sqref="F20">
    <cfRule type="cellIs" dxfId="36" priority="42" operator="lessThan">
      <formula>0</formula>
    </cfRule>
  </conditionalFormatting>
  <conditionalFormatting sqref="F22">
    <cfRule type="cellIs" dxfId="35" priority="41" operator="lessThan">
      <formula>0</formula>
    </cfRule>
  </conditionalFormatting>
  <conditionalFormatting sqref="F19:F22 F29">
    <cfRule type="duplicateValues" dxfId="34" priority="40"/>
  </conditionalFormatting>
  <conditionalFormatting sqref="L22:L25">
    <cfRule type="cellIs" dxfId="33" priority="36" operator="lessThan">
      <formula>0</formula>
    </cfRule>
  </conditionalFormatting>
  <conditionalFormatting sqref="F25">
    <cfRule type="duplicateValues" dxfId="32" priority="33"/>
  </conditionalFormatting>
  <conditionalFormatting sqref="F24">
    <cfRule type="duplicateValues" dxfId="31" priority="34"/>
  </conditionalFormatting>
  <conditionalFormatting sqref="F23">
    <cfRule type="duplicateValues" dxfId="30" priority="35"/>
  </conditionalFormatting>
  <conditionalFormatting sqref="F22:F25">
    <cfRule type="duplicateValues" dxfId="29" priority="32"/>
  </conditionalFormatting>
  <conditionalFormatting sqref="F22:F25">
    <cfRule type="duplicateValues" dxfId="28" priority="37"/>
  </conditionalFormatting>
  <conditionalFormatting sqref="F22:F25">
    <cfRule type="duplicateValues" dxfId="27" priority="38"/>
  </conditionalFormatting>
  <conditionalFormatting sqref="L22:L25">
    <cfRule type="cellIs" dxfId="26" priority="31" operator="lessThan">
      <formula>0</formula>
    </cfRule>
  </conditionalFormatting>
  <conditionalFormatting sqref="F26">
    <cfRule type="duplicateValues" dxfId="25" priority="27"/>
  </conditionalFormatting>
  <conditionalFormatting sqref="F26">
    <cfRule type="duplicateValues" dxfId="24" priority="26"/>
  </conditionalFormatting>
  <conditionalFormatting sqref="F26">
    <cfRule type="duplicateValues" dxfId="23" priority="29"/>
  </conditionalFormatting>
  <conditionalFormatting sqref="F26">
    <cfRule type="duplicateValues" dxfId="22" priority="30"/>
  </conditionalFormatting>
  <conditionalFormatting sqref="L25">
    <cfRule type="cellIs" dxfId="21" priority="17" operator="lessThan">
      <formula>0</formula>
    </cfRule>
  </conditionalFormatting>
  <conditionalFormatting sqref="F19">
    <cfRule type="cellIs" dxfId="20" priority="24" operator="lessThan">
      <formula>0</formula>
    </cfRule>
  </conditionalFormatting>
  <conditionalFormatting sqref="F21">
    <cfRule type="cellIs" dxfId="19" priority="23" operator="lessThan">
      <formula>0</formula>
    </cfRule>
  </conditionalFormatting>
  <conditionalFormatting sqref="F24">
    <cfRule type="duplicateValues" dxfId="18" priority="20"/>
  </conditionalFormatting>
  <conditionalFormatting sqref="F23">
    <cfRule type="duplicateValues" dxfId="17" priority="21"/>
  </conditionalFormatting>
  <conditionalFormatting sqref="F22">
    <cfRule type="duplicateValues" dxfId="16" priority="22"/>
  </conditionalFormatting>
  <conditionalFormatting sqref="F25">
    <cfRule type="duplicateValues" dxfId="15" priority="16"/>
  </conditionalFormatting>
  <conditionalFormatting sqref="F25">
    <cfRule type="duplicateValues" dxfId="14" priority="15"/>
  </conditionalFormatting>
  <conditionalFormatting sqref="F25">
    <cfRule type="duplicateValues" dxfId="13" priority="18"/>
  </conditionalFormatting>
  <conditionalFormatting sqref="F25">
    <cfRule type="duplicateValues" dxfId="12" priority="19"/>
  </conditionalFormatting>
  <conditionalFormatting sqref="F34">
    <cfRule type="duplicateValues" dxfId="11" priority="14"/>
  </conditionalFormatting>
  <conditionalFormatting sqref="F44">
    <cfRule type="duplicateValues" dxfId="10" priority="13"/>
  </conditionalFormatting>
  <conditionalFormatting sqref="C2:D18">
    <cfRule type="cellIs" dxfId="9" priority="10" operator="lessThan">
      <formula>0</formula>
    </cfRule>
  </conditionalFormatting>
  <conditionalFormatting sqref="N2:N18 C2:D18">
    <cfRule type="cellIs" dxfId="8" priority="9" operator="lessThan">
      <formula>0</formula>
    </cfRule>
  </conditionalFormatting>
  <conditionalFormatting sqref="D2:D18">
    <cfRule type="cellIs" dxfId="7" priority="8" operator="equal">
      <formula>1</formula>
    </cfRule>
  </conditionalFormatting>
  <conditionalFormatting sqref="A2:N18">
    <cfRule type="expression" dxfId="6" priority="7">
      <formula>ROW()=CELL("fila")</formula>
    </cfRule>
  </conditionalFormatting>
  <conditionalFormatting sqref="U2:AJ18">
    <cfRule type="expression" dxfId="5" priority="6">
      <formula>ROW()=CELL("fila")</formula>
    </cfRule>
  </conditionalFormatting>
  <conditionalFormatting sqref="C35:D36">
    <cfRule type="cellIs" dxfId="4" priority="5" operator="lessThan">
      <formula>0</formula>
    </cfRule>
  </conditionalFormatting>
  <conditionalFormatting sqref="N35:N36 C35:D36">
    <cfRule type="cellIs" dxfId="3" priority="4" operator="lessThan">
      <formula>0</formula>
    </cfRule>
  </conditionalFormatting>
  <conditionalFormatting sqref="D35:D36">
    <cfRule type="cellIs" dxfId="2" priority="3" operator="equal">
      <formula>1</formula>
    </cfRule>
  </conditionalFormatting>
  <conditionalFormatting sqref="A35:N36">
    <cfRule type="expression" dxfId="1" priority="2">
      <formula>ROW()=CELL("fila")</formula>
    </cfRule>
  </conditionalFormatting>
  <conditionalFormatting sqref="U35:AJ36">
    <cfRule type="expression" dxfId="0" priority="1">
      <formula>ROW()=CELL("fila")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0AD3C-B7A4-4DB3-B8B1-37BFC9988D40}">
  <sheetPr codeName="Hoja6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849CB9D7ACC5849BB06A88E2E83DFD9" ma:contentTypeVersion="4" ma:contentTypeDescription="Crear nuevo documento." ma:contentTypeScope="" ma:versionID="e4c251ab6c38ebb58b915dbcb55ae6d0">
  <xsd:schema xmlns:xsd="http://www.w3.org/2001/XMLSchema" xmlns:xs="http://www.w3.org/2001/XMLSchema" xmlns:p="http://schemas.microsoft.com/office/2006/metadata/properties" xmlns:ns2="0b649bf0-fbdd-4b76-a6bd-d317ab28bd9c" xmlns:ns3="5dba9593-6f05-4412-9e04-b61e613f1a03" targetNamespace="http://schemas.microsoft.com/office/2006/metadata/properties" ma:root="true" ma:fieldsID="e4c49fa2560a87ecfa467e9f0f137632" ns2:_="" ns3:_="">
    <xsd:import namespace="0b649bf0-fbdd-4b76-a6bd-d317ab28bd9c"/>
    <xsd:import namespace="5dba9593-6f05-4412-9e04-b61e613f1a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649bf0-fbdd-4b76-a6bd-d317ab28bd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ba9593-6f05-4412-9e04-b61e613f1a0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EF4B3DC-B010-47E0-8C56-B19F1A1DBA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463D13D-8786-45D2-9F01-B3B3A0F779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649bf0-fbdd-4b76-a6bd-d317ab28bd9c"/>
    <ds:schemaRef ds:uri="5dba9593-6f05-4412-9e04-b61e613f1a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220B977-5C7D-4272-90AE-55D1F309408E}">
  <ds:schemaRefs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0b649bf0-fbdd-4b76-a6bd-d317ab28bd9c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5dba9593-6f05-4412-9e04-b61e613f1a0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 de Producción</vt:lpstr>
      <vt:lpstr>Datos HB</vt:lpstr>
      <vt:lpstr>Datos IN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Irene Flores Navarrete</dc:creator>
  <cp:keywords/>
  <dc:description/>
  <cp:lastModifiedBy>MARIANO ALCARAZ AGUILAR</cp:lastModifiedBy>
  <cp:revision/>
  <dcterms:created xsi:type="dcterms:W3CDTF">2021-05-14T16:08:15Z</dcterms:created>
  <dcterms:modified xsi:type="dcterms:W3CDTF">2023-12-01T02:54:26Z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0x010100E849CB9D7ACC5849BB06A88E2E83DFD9</vt:lpwstr>
  </property>
</Properties>
</file>